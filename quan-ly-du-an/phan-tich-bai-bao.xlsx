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Esclipe_Web\Quan ly du an HTTT\quan-ly-du-an\"/>
    </mc:Choice>
  </mc:AlternateContent>
  <xr:revisionPtr revIDLastSave="0" documentId="13_ncr:1_{580DC734-C9F1-44FC-A08A-B99672C6B73C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Hướng dẫn" sheetId="1" r:id="rId1"/>
    <sheet name="RII" sheetId="2" r:id="rId2"/>
    <sheet name="AVE-CR" sheetId="3" r:id="rId3"/>
    <sheet name="Fornell-Larcker" sheetId="4" r:id="rId4"/>
    <sheet name="Cấu trúc" sheetId="5" r:id="rId5"/>
    <sheet name="Mô phỏng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6" l="1"/>
  <c r="E18" i="6"/>
  <c r="C18" i="6"/>
  <c r="B18" i="6"/>
  <c r="G17" i="6"/>
  <c r="D17" i="6"/>
  <c r="H17" i="6" s="1"/>
  <c r="G16" i="6"/>
  <c r="D16" i="6"/>
  <c r="H16" i="6" s="1"/>
  <c r="G15" i="6"/>
  <c r="D15" i="6"/>
  <c r="H15" i="6" s="1"/>
  <c r="G14" i="6"/>
  <c r="D14" i="6"/>
  <c r="H14" i="6" s="1"/>
  <c r="G13" i="6"/>
  <c r="D13" i="6"/>
  <c r="H13" i="6" s="1"/>
  <c r="G12" i="6"/>
  <c r="D12" i="6"/>
  <c r="H12" i="6" s="1"/>
  <c r="G11" i="6"/>
  <c r="D11" i="6"/>
  <c r="H11" i="6" s="1"/>
  <c r="G10" i="6"/>
  <c r="D10" i="6"/>
  <c r="H10" i="6" s="1"/>
  <c r="G9" i="6"/>
  <c r="D9" i="6"/>
  <c r="G8" i="6"/>
  <c r="D8" i="6"/>
  <c r="H8" i="6" s="1"/>
  <c r="G7" i="6"/>
  <c r="D7" i="6"/>
  <c r="H7" i="6" s="1"/>
  <c r="G6" i="6"/>
  <c r="D6" i="6"/>
  <c r="H6" i="6" s="1"/>
  <c r="G5" i="6"/>
  <c r="G18" i="6" s="1"/>
  <c r="D5" i="6"/>
  <c r="H5" i="6" s="1"/>
  <c r="C14" i="5"/>
  <c r="B14" i="5"/>
  <c r="D13" i="5"/>
  <c r="F9" i="5"/>
  <c r="G9" i="5" s="1"/>
  <c r="E9" i="5"/>
  <c r="F8" i="5"/>
  <c r="G8" i="5" s="1"/>
  <c r="E8" i="5"/>
  <c r="F7" i="5"/>
  <c r="G7" i="5" s="1"/>
  <c r="E7" i="5"/>
  <c r="D23" i="4"/>
  <c r="D22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Q17" i="4"/>
  <c r="O16" i="4"/>
  <c r="Q16" i="4" s="1"/>
  <c r="O15" i="4"/>
  <c r="N15" i="4"/>
  <c r="Q15" i="4" s="1"/>
  <c r="O14" i="4"/>
  <c r="N14" i="4"/>
  <c r="M14" i="4"/>
  <c r="Q14" i="4" s="1"/>
  <c r="O13" i="4"/>
  <c r="N13" i="4"/>
  <c r="M13" i="4"/>
  <c r="L13" i="4"/>
  <c r="Q13" i="4" s="1"/>
  <c r="O12" i="4"/>
  <c r="N12" i="4"/>
  <c r="M12" i="4"/>
  <c r="L12" i="4"/>
  <c r="K12" i="4"/>
  <c r="Q12" i="4" s="1"/>
  <c r="O11" i="4"/>
  <c r="N11" i="4"/>
  <c r="M11" i="4"/>
  <c r="L11" i="4"/>
  <c r="K11" i="4"/>
  <c r="J11" i="4"/>
  <c r="Q11" i="4" s="1"/>
  <c r="O10" i="4"/>
  <c r="N10" i="4"/>
  <c r="M10" i="4"/>
  <c r="L10" i="4"/>
  <c r="K10" i="4"/>
  <c r="J10" i="4"/>
  <c r="I10" i="4"/>
  <c r="O9" i="4"/>
  <c r="N9" i="4"/>
  <c r="M9" i="4"/>
  <c r="L9" i="4"/>
  <c r="K9" i="4"/>
  <c r="J9" i="4"/>
  <c r="I9" i="4"/>
  <c r="H9" i="4"/>
  <c r="Q9" i="4" s="1"/>
  <c r="O8" i="4"/>
  <c r="N8" i="4"/>
  <c r="M8" i="4"/>
  <c r="L8" i="4"/>
  <c r="K8" i="4"/>
  <c r="J8" i="4"/>
  <c r="I8" i="4"/>
  <c r="H8" i="4"/>
  <c r="G8" i="4"/>
  <c r="Q8" i="4" s="1"/>
  <c r="O7" i="4"/>
  <c r="N7" i="4"/>
  <c r="M7" i="4"/>
  <c r="L7" i="4"/>
  <c r="K7" i="4"/>
  <c r="J7" i="4"/>
  <c r="I7" i="4"/>
  <c r="H7" i="4"/>
  <c r="G7" i="4"/>
  <c r="F7" i="4"/>
  <c r="Q7" i="4" s="1"/>
  <c r="O6" i="4"/>
  <c r="N6" i="4"/>
  <c r="M6" i="4"/>
  <c r="L6" i="4"/>
  <c r="K6" i="4"/>
  <c r="J6" i="4"/>
  <c r="I6" i="4"/>
  <c r="H6" i="4"/>
  <c r="G6" i="4"/>
  <c r="F6" i="4"/>
  <c r="E6" i="4"/>
  <c r="Q6" i="4" s="1"/>
  <c r="O5" i="4"/>
  <c r="N5" i="4"/>
  <c r="M5" i="4"/>
  <c r="L5" i="4"/>
  <c r="K5" i="4"/>
  <c r="J5" i="4"/>
  <c r="I5" i="4"/>
  <c r="H5" i="4"/>
  <c r="G5" i="4"/>
  <c r="F5" i="4"/>
  <c r="E5" i="4"/>
  <c r="D5" i="4"/>
  <c r="Q5" i="4" s="1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G18" i="3"/>
  <c r="D18" i="3"/>
  <c r="G17" i="3"/>
  <c r="D17" i="3"/>
  <c r="G16" i="3"/>
  <c r="D16" i="3"/>
  <c r="G15" i="3"/>
  <c r="D15" i="3"/>
  <c r="G14" i="3"/>
  <c r="D14" i="3"/>
  <c r="G13" i="3"/>
  <c r="D13" i="3"/>
  <c r="G12" i="3"/>
  <c r="D12" i="3"/>
  <c r="G11" i="3"/>
  <c r="D11" i="3"/>
  <c r="G10" i="3"/>
  <c r="D10" i="3"/>
  <c r="G9" i="3"/>
  <c r="D9" i="3"/>
  <c r="G8" i="3"/>
  <c r="D8" i="3"/>
  <c r="G7" i="3"/>
  <c r="D7" i="3"/>
  <c r="G6" i="3"/>
  <c r="D6" i="3"/>
  <c r="G5" i="3"/>
  <c r="D5" i="3"/>
  <c r="L14" i="2"/>
  <c r="K14" i="2"/>
  <c r="F14" i="2"/>
  <c r="L13" i="2"/>
  <c r="K13" i="2"/>
  <c r="O13" i="2" s="1"/>
  <c r="F13" i="2"/>
  <c r="L12" i="2"/>
  <c r="K12" i="2"/>
  <c r="O12" i="2" s="1"/>
  <c r="F12" i="2"/>
  <c r="L11" i="2"/>
  <c r="K11" i="2"/>
  <c r="F11" i="2"/>
  <c r="L10" i="2"/>
  <c r="K10" i="2"/>
  <c r="F10" i="2"/>
  <c r="L9" i="2"/>
  <c r="K9" i="2"/>
  <c r="O9" i="2" s="1"/>
  <c r="F9" i="2"/>
  <c r="L8" i="2"/>
  <c r="K8" i="2"/>
  <c r="O8" i="2" s="1"/>
  <c r="F8" i="2"/>
  <c r="L7" i="2"/>
  <c r="K7" i="2"/>
  <c r="O7" i="2" s="1"/>
  <c r="F7" i="2"/>
  <c r="L6" i="2"/>
  <c r="K6" i="2"/>
  <c r="F6" i="2"/>
  <c r="L5" i="2"/>
  <c r="K5" i="2"/>
  <c r="O5" i="2" s="1"/>
  <c r="O17" i="2" s="1"/>
  <c r="F5" i="2"/>
  <c r="D14" i="5" l="1"/>
  <c r="Q10" i="4"/>
  <c r="B22" i="5"/>
  <c r="B23" i="5" s="1"/>
  <c r="B24" i="5" s="1"/>
  <c r="B21" i="5"/>
  <c r="B20" i="5"/>
  <c r="D18" i="6"/>
  <c r="H9" i="6"/>
  <c r="H18" i="6" s="1"/>
  <c r="S17" i="4"/>
  <c r="T17" i="4" s="1"/>
  <c r="R17" i="4"/>
  <c r="R16" i="4"/>
  <c r="S16" i="4"/>
  <c r="T16" i="4" s="1"/>
  <c r="R15" i="4"/>
  <c r="S15" i="4"/>
  <c r="T15" i="4" s="1"/>
  <c r="R14" i="4"/>
  <c r="S14" i="4"/>
  <c r="T14" i="4" s="1"/>
  <c r="S13" i="4"/>
  <c r="T13" i="4" s="1"/>
  <c r="R13" i="4"/>
  <c r="S12" i="4"/>
  <c r="T12" i="4" s="1"/>
  <c r="R12" i="4"/>
  <c r="S11" i="4"/>
  <c r="T11" i="4" s="1"/>
  <c r="R11" i="4"/>
  <c r="S9" i="4"/>
  <c r="T9" i="4" s="1"/>
  <c r="R9" i="4"/>
  <c r="R8" i="4"/>
  <c r="S8" i="4"/>
  <c r="T8" i="4" s="1"/>
  <c r="S7" i="4"/>
  <c r="T7" i="4" s="1"/>
  <c r="R7" i="4"/>
  <c r="S6" i="4"/>
  <c r="T6" i="4" s="1"/>
  <c r="R6" i="4"/>
  <c r="S5" i="4"/>
  <c r="T5" i="4" s="1"/>
  <c r="R5" i="4"/>
  <c r="H18" i="3"/>
  <c r="K18" i="3"/>
  <c r="M18" i="3" s="1"/>
  <c r="K17" i="3"/>
  <c r="M17" i="3" s="1"/>
  <c r="H17" i="3"/>
  <c r="H16" i="3"/>
  <c r="K16" i="3"/>
  <c r="M16" i="3" s="1"/>
  <c r="K15" i="3"/>
  <c r="M15" i="3" s="1"/>
  <c r="H15" i="3"/>
  <c r="K14" i="3"/>
  <c r="M14" i="3" s="1"/>
  <c r="H14" i="3"/>
  <c r="H13" i="3"/>
  <c r="K13" i="3"/>
  <c r="M13" i="3" s="1"/>
  <c r="H12" i="3"/>
  <c r="K12" i="3"/>
  <c r="M12" i="3" s="1"/>
  <c r="K11" i="3"/>
  <c r="M11" i="3" s="1"/>
  <c r="H11" i="3"/>
  <c r="K10" i="3"/>
  <c r="M10" i="3" s="1"/>
  <c r="H10" i="3"/>
  <c r="K9" i="3"/>
  <c r="M9" i="3" s="1"/>
  <c r="H9" i="3"/>
  <c r="K8" i="3"/>
  <c r="M8" i="3" s="1"/>
  <c r="H8" i="3"/>
  <c r="H7" i="3"/>
  <c r="K7" i="3"/>
  <c r="M7" i="3" s="1"/>
  <c r="H6" i="3"/>
  <c r="K6" i="3"/>
  <c r="M6" i="3" s="1"/>
  <c r="K5" i="3"/>
  <c r="M5" i="3" s="1"/>
  <c r="H5" i="3"/>
  <c r="J14" i="2"/>
  <c r="G14" i="2"/>
  <c r="H14" i="2" s="1"/>
  <c r="G13" i="2"/>
  <c r="H13" i="2" s="1"/>
  <c r="J13" i="2"/>
  <c r="J12" i="2"/>
  <c r="G12" i="2"/>
  <c r="H12" i="2" s="1"/>
  <c r="J11" i="2"/>
  <c r="G11" i="2"/>
  <c r="H11" i="2" s="1"/>
  <c r="J10" i="2"/>
  <c r="G10" i="2"/>
  <c r="H10" i="2" s="1"/>
  <c r="J9" i="2"/>
  <c r="G9" i="2"/>
  <c r="H9" i="2" s="1"/>
  <c r="J8" i="2"/>
  <c r="G8" i="2"/>
  <c r="H8" i="2" s="1"/>
  <c r="G7" i="2"/>
  <c r="H7" i="2" s="1"/>
  <c r="J7" i="2"/>
  <c r="G6" i="2"/>
  <c r="H6" i="2" s="1"/>
  <c r="J6" i="2"/>
  <c r="J5" i="2"/>
  <c r="G5" i="2"/>
  <c r="H5" i="2" s="1"/>
  <c r="H16" i="2" l="1"/>
  <c r="S10" i="4"/>
  <c r="T10" i="4" s="1"/>
  <c r="D21" i="4" s="1"/>
  <c r="R10" i="4"/>
  <c r="D24" i="5"/>
  <c r="B25" i="5"/>
  <c r="D25" i="5" s="1"/>
  <c r="B26" i="5"/>
  <c r="D26" i="5" s="1"/>
  <c r="J18" i="3"/>
  <c r="N18" i="3"/>
  <c r="J17" i="3"/>
  <c r="N17" i="3"/>
  <c r="J16" i="3"/>
  <c r="N16" i="3"/>
  <c r="J15" i="3"/>
  <c r="N15" i="3"/>
  <c r="N14" i="3"/>
  <c r="J14" i="3"/>
  <c r="J13" i="3"/>
  <c r="N13" i="3"/>
  <c r="J12" i="3"/>
  <c r="N12" i="3"/>
  <c r="J11" i="3"/>
  <c r="N11" i="3"/>
  <c r="J10" i="3"/>
  <c r="N10" i="3"/>
  <c r="J9" i="3"/>
  <c r="N9" i="3"/>
  <c r="J8" i="3"/>
  <c r="N8" i="3"/>
  <c r="N7" i="3"/>
  <c r="J7" i="3"/>
  <c r="J6" i="3"/>
  <c r="N6" i="3"/>
  <c r="J5" i="3"/>
  <c r="N5" i="3"/>
</calcChain>
</file>

<file path=xl/sharedStrings.xml><?xml version="1.0" encoding="utf-8"?>
<sst xmlns="http://schemas.openxmlformats.org/spreadsheetml/2006/main" count="332" uniqueCount="187">
  <si>
    <t>KIỂM TRA LẠI SỐ LIỆU BÀI BÁO KASSEM (2022) BẰNG EXCEL</t>
  </si>
  <si>
    <t>Bài báo: Risk Management Assessment in Oil and Gas Construction Projects Using PLS-SEM. Gases 2(2), 33–60.</t>
  </si>
  <si>
    <t>Dữ liệu gốc không được công bố; file này chỉ dùng các con số đã in trong bài (Bảng 6–14).</t>
  </si>
  <si>
    <t>Quy ước màu:</t>
  </si>
  <si>
    <t xml:space="preserve">  • Ô nền vàng, chữ xanh: số liệu nhập từ bài báo.</t>
  </si>
  <si>
    <t xml:space="preserve">  • Ô chữ đen: công thức Excel, tự tính lại khi sửa số liệu.</t>
  </si>
  <si>
    <t xml:space="preserve">  • Nền xanh lá: khớp / đạt.   Nền đỏ: lệch / không đạt.</t>
  </si>
  <si>
    <t>Các sheet:</t>
  </si>
  <si>
    <t xml:space="preserve">  RII              – RII tổng = RII tác động × RII xác suất; quy đổi sang mức của ma trận PIM (Bảng 6, 7)</t>
  </si>
  <si>
    <t xml:space="preserve">  AVE-CR           – Tính AVE, CR từ 56 loading (Bảng 8)</t>
  </si>
  <si>
    <t xml:space="preserve">  Fornell-Larcker  – Ma trận Bảng 9 dựng lại; so √AVE với tương quan lớn nhất</t>
  </si>
  <si>
    <t xml:space="preserve">  Cấu trúc         – Q² = 1 − SSE/SSO; GoF; kiểm tra R², f² từ β và tương quan (Bảng 11–14)</t>
  </si>
  <si>
    <t xml:space="preserve">  Mô phỏng         – So sánh với kết quả PLS-SEM trên dữ liệu mô phỏng (tính bằng Python, src/)</t>
  </si>
  <si>
    <t>Sai số làm tròn chấp nhận được: ô B20 (mặc định 0,0015).</t>
  </si>
  <si>
    <t>Sai số chấp nhận:</t>
  </si>
  <si>
    <t>RII TỔNG VÀ MỨC MA TRẬN XÁC SUẤT – TÁC ĐỘNG (Bảng 6, 7)</t>
  </si>
  <si>
    <t>Mức quy đổi theo thang chia đều: &lt;0,2 VL; &lt;0,4 L; &lt;0,6 M; &lt;0,8 H; còn lại VH (giả định, bài báo không nêu).</t>
  </si>
  <si>
    <t>Mã</t>
  </si>
  <si>
    <t>Rủi ro</t>
  </si>
  <si>
    <t>RII tác động</t>
  </si>
  <si>
    <t>RII xác suất</t>
  </si>
  <si>
    <t>RII tổng (bài báo)</t>
  </si>
  <si>
    <t>RII tổng tính lại</t>
  </si>
  <si>
    <t>Chênh lệch</t>
  </si>
  <si>
    <t>Kết quả</t>
  </si>
  <si>
    <t>Hạng bài báo</t>
  </si>
  <si>
    <t>Hạng tính lại</t>
  </si>
  <si>
    <t>Mức tác động</t>
  </si>
  <si>
    <t>Mức xác suất</t>
  </si>
  <si>
    <t>Bảng 6: tác động</t>
  </si>
  <si>
    <t>Bảng 6: xác suất</t>
  </si>
  <si>
    <t>PIM khớp RII?</t>
  </si>
  <si>
    <t>CL1</t>
  </si>
  <si>
    <t>Chậm ra quyết định</t>
  </si>
  <si>
    <t>H</t>
  </si>
  <si>
    <t>VH</t>
  </si>
  <si>
    <t>CL2</t>
  </si>
  <si>
    <t>Chính phủ bất ổn</t>
  </si>
  <si>
    <t>—</t>
  </si>
  <si>
    <t>Không có trong Bảng 6</t>
  </si>
  <si>
    <t>FD1</t>
  </si>
  <si>
    <t>Nghiên cứu khả thi không đúng</t>
  </si>
  <si>
    <t>FD4</t>
  </si>
  <si>
    <t>Ước tính chi phí dự án sai</t>
  </si>
  <si>
    <t>FD5</t>
  </si>
  <si>
    <t>Ước tính tiến độ sai</t>
  </si>
  <si>
    <t>TC3</t>
  </si>
  <si>
    <t>Điều khoản hợp đồng không rõ</t>
  </si>
  <si>
    <t>EC1</t>
  </si>
  <si>
    <t>Khủng hoảng kinh tế và tài chính</t>
  </si>
  <si>
    <t>RM1</t>
  </si>
  <si>
    <t>Thiếu lao động và năng suất thấp</t>
  </si>
  <si>
    <t>PO1</t>
  </si>
  <si>
    <t>Bất ổn chính trị</t>
  </si>
  <si>
    <t>FM3</t>
  </si>
  <si>
    <t>Chiến tranh trong nước</t>
  </si>
  <si>
    <t>Số dòng RII tổng khớp</t>
  </si>
  <si>
    <t>Số rủi ro có mức PIM khớp RII</t>
  </si>
  <si>
    <t>AVE VÀ CR TÍNH LẠI TỪ LOADING (Bảng 8)</t>
  </si>
  <si>
    <t>AVE = trung bình λ²;  CR = (Σλ)² / ((Σλ)² + Σ(1 − λ²)).  Ngưỡng: AVE ≥ 0,5; CR ≥ 0,7.</t>
  </si>
  <si>
    <t>Nhóm</t>
  </si>
  <si>
    <t>Câu</t>
  </si>
  <si>
    <t>Loading λ</t>
  </si>
  <si>
    <t>λ²</t>
  </si>
  <si>
    <t>Số câu</t>
  </si>
  <si>
    <t>AVE tính lại</t>
  </si>
  <si>
    <t>AVE bài báo</t>
  </si>
  <si>
    <t>Kết quả AVE</t>
  </si>
  <si>
    <t>CR tính lại</t>
  </si>
  <si>
    <t>CR bài báo</t>
  </si>
  <si>
    <t>Kết quả CR</t>
  </si>
  <si>
    <t>AVE ≥ 0,5?</t>
  </si>
  <si>
    <t>CL</t>
  </si>
  <si>
    <t>CO</t>
  </si>
  <si>
    <t>CL3</t>
  </si>
  <si>
    <t>CN</t>
  </si>
  <si>
    <t>CL4</t>
  </si>
  <si>
    <t>FD</t>
  </si>
  <si>
    <t>CL5</t>
  </si>
  <si>
    <t>TC</t>
  </si>
  <si>
    <t>CL6</t>
  </si>
  <si>
    <t>RM</t>
  </si>
  <si>
    <t>CO1</t>
  </si>
  <si>
    <t>MR</t>
  </si>
  <si>
    <t>CO2</t>
  </si>
  <si>
    <t>EC</t>
  </si>
  <si>
    <t>CO3</t>
  </si>
  <si>
    <t>PO</t>
  </si>
  <si>
    <t>CN1</t>
  </si>
  <si>
    <t>LP</t>
  </si>
  <si>
    <t>CN2</t>
  </si>
  <si>
    <t>EN</t>
  </si>
  <si>
    <t>CN3</t>
  </si>
  <si>
    <t>SE</t>
  </si>
  <si>
    <t>FM</t>
  </si>
  <si>
    <t>FD2</t>
  </si>
  <si>
    <t>EF</t>
  </si>
  <si>
    <t>FD3</t>
  </si>
  <si>
    <t>Ghi chú: nhóm EF tính với cả 5 câu; tác giả nói đã bỏ EF3 nhưng vẫn in đủ 5 loading.</t>
  </si>
  <si>
    <t>TC1</t>
  </si>
  <si>
    <t>TC2</t>
  </si>
  <si>
    <t>TC4</t>
  </si>
  <si>
    <t>RM2</t>
  </si>
  <si>
    <t>RM3</t>
  </si>
  <si>
    <t>RM4</t>
  </si>
  <si>
    <t>RM5</t>
  </si>
  <si>
    <t>MR1</t>
  </si>
  <si>
    <t>MR2</t>
  </si>
  <si>
    <t>MR3</t>
  </si>
  <si>
    <t>MR4</t>
  </si>
  <si>
    <t>MR5</t>
  </si>
  <si>
    <t>EC2</t>
  </si>
  <si>
    <t>EC3</t>
  </si>
  <si>
    <t>EC4</t>
  </si>
  <si>
    <t>PO2</t>
  </si>
  <si>
    <t>PO3</t>
  </si>
  <si>
    <t>PO4</t>
  </si>
  <si>
    <t>LP1</t>
  </si>
  <si>
    <t>LP2</t>
  </si>
  <si>
    <t>LP3</t>
  </si>
  <si>
    <t>EN1</t>
  </si>
  <si>
    <t>EN2</t>
  </si>
  <si>
    <t>EN3</t>
  </si>
  <si>
    <t>SE1</t>
  </si>
  <si>
    <t>SE2</t>
  </si>
  <si>
    <t>SE3</t>
  </si>
  <si>
    <t>FM1</t>
  </si>
  <si>
    <t>FM2</t>
  </si>
  <si>
    <t>EF2</t>
  </si>
  <si>
    <t>EF4</t>
  </si>
  <si>
    <t>EF5</t>
  </si>
  <si>
    <t>EF1</t>
  </si>
  <si>
    <t>EF3</t>
  </si>
  <si>
    <t>TIÊU CHÍ FORNELL–LARCKER (Bảng 9, dựng lại từ các đường chéo trong PDF)</t>
  </si>
  <si>
    <t>Tam giác dưới: số liệu bài báo. Tam giác trên: công thức đối xứng. Ô đỏ: tương quan lớn hơn √AVE của một trong hai nhóm (vi phạm).</t>
  </si>
  <si>
    <t>Loại</t>
  </si>
  <si>
    <t>√AVE</t>
  </si>
  <si>
    <t>Tương quan lớn nhất</t>
  </si>
  <si>
    <t>Với nhóm</t>
  </si>
  <si>
    <t>Nội bộ</t>
  </si>
  <si>
    <t>Bên ngoài</t>
  </si>
  <si>
    <t>Số nhóm không đạt:</t>
  </si>
  <si>
    <t>Tương quan TB:</t>
  </si>
  <si>
    <t>Số cặp &gt; 0,80:</t>
  </si>
  <si>
    <t>MÔ HÌNH CẤU TRÚC: Q², GoF, KIỂM TRA R² VÀ f² (Bảng 11–14)</t>
  </si>
  <si>
    <t>Số phiếu n = 314. SSO = n × số câu của biến, nên SSO/n cho biết dòng nào của Bảng 14 ứng với biến nào.</t>
  </si>
  <si>
    <t>Số phiếu n</t>
  </si>
  <si>
    <t>Bảng 14</t>
  </si>
  <si>
    <t>SSO</t>
  </si>
  <si>
    <t>SSE</t>
  </si>
  <si>
    <t>Q² bài báo</t>
  </si>
  <si>
    <t>Q² tính lại</t>
  </si>
  <si>
    <t>Số câu = SSO/n</t>
  </si>
  <si>
    <t>Suy ra là biến</t>
  </si>
  <si>
    <t>Dòng 1</t>
  </si>
  <si>
    <t>Dòng 2</t>
  </si>
  <si>
    <t>Dòng 3</t>
  </si>
  <si>
    <t>GoF = √(R² × AVE trung bình)</t>
  </si>
  <si>
    <t>R²</t>
  </si>
  <si>
    <t>AVE TB</t>
  </si>
  <si>
    <t>GoF tính</t>
  </si>
  <si>
    <t>GoF bài báo</t>
  </si>
  <si>
    <t>Theo số bài báo dùng</t>
  </si>
  <si>
    <t>AVE TB của 13 nhóm (sheet AVE-CR)</t>
  </si>
  <si>
    <t>Kiểm tra R², f² từ β và Bảng 9</t>
  </si>
  <si>
    <t>Giá trị</t>
  </si>
  <si>
    <t>Bài báo</t>
  </si>
  <si>
    <t>β nội bộ → EF</t>
  </si>
  <si>
    <t>β bên ngoài → EF</t>
  </si>
  <si>
    <t>Tổng tương quan khối nội bộ (cả đường chéo = 1)</t>
  </si>
  <si>
    <t>Tổng tương quan khối bên ngoài (cả đường chéo = 1)</t>
  </si>
  <si>
    <t>Tổng tương quan chéo nội bộ × bên ngoài</t>
  </si>
  <si>
    <t>r = tương quan giữa TB nhóm nội bộ và TB nhóm bên ngoài</t>
  </si>
  <si>
    <t>R² = β₁² + β₂² + 2β₁β₂r</t>
  </si>
  <si>
    <t>f² nội bộ = (R² − (β₂ + β₁r)²) / (1 − R²)</t>
  </si>
  <si>
    <t>f² bên ngoài = (R² − (β₁ + β₂r)²) / (1 − R²)</t>
  </si>
  <si>
    <t>r là xấp xỉ (trung bình đều các nhóm); bài báo dùng trọng số PLS không công bố.</t>
  </si>
  <si>
    <t>SO SÁNH VỚI KẾT QUẢ PLS-SEM TRÊN DỮ LIỆU MÔ PHỎNG</t>
  </si>
  <si>
    <t>Cột 'Mô phỏng' là kết quả do src/phan_tich_mo_phong.py tính (bootstrapping 5000 lần), đọc từ results/tables/mp_tong_hieu_ung.csv.</t>
  </si>
  <si>
    <t>β bài báo</t>
  </si>
  <si>
    <t>β mô phỏng</t>
  </si>
  <si>
    <t>SE bài báo</t>
  </si>
  <si>
    <t>SE mô phỏng</t>
  </si>
  <si>
    <t>t bài báo</t>
  </si>
  <si>
    <t>t mô phỏng</t>
  </si>
  <si>
    <t>Tỷ lệ SE mô phỏng / bài báo</t>
  </si>
  <si>
    <t>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</si>
</sst>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\+0.0000;\-0.0000;0"/>
    <numFmt numFmtId="167" formatCode="\+0.000;\-0.000"/>
    <numFmt numFmtId="168" formatCode="0.0"/>
  </numFmts>
  <fonts count="9" x14ac:knownFonts="1">
    <font>
      <sz val="11"/>
      <color theme="1"/>
      <name val="Calibri"/>
      <family val="2"/>
      <scheme val="minor"/>
    </font>
    <font>
      <b/>
      <sz val="12"/>
      <color rgb="FF1F4E78"/>
      <name val="Arial"/>
    </font>
    <font>
      <sz val="10"/>
      <color rgb="FF000000"/>
      <name val="Arial"/>
    </font>
    <font>
      <b/>
      <sz val="11"/>
      <name val="Arial"/>
    </font>
    <font>
      <sz val="10"/>
      <color rgb="FF0000FF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i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68" fontId="4" fillId="2" borderId="1" xfId="0" applyNumberFormat="1" applyFont="1" applyFill="1" applyBorder="1" applyAlignment="1">
      <alignment horizontal="center" vertical="center" wrapText="1"/>
    </xf>
    <xf numFmtId="168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4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b/>
        <color rgb="FFFFFFFF"/>
      </font>
      <fill>
        <patternFill patternType="solid">
          <fgColor rgb="FFFF0000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RII tác động và RII xác suất của top 10 rủi ro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RII!$C$4</c:f>
              <c:strCache>
                <c:ptCount val="1"/>
                <c:pt idx="0">
                  <c:v>RII tác động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RII!$A$5:$A$14</c:f>
              <c:strCache>
                <c:ptCount val="10"/>
                <c:pt idx="0">
                  <c:v>CL1</c:v>
                </c:pt>
                <c:pt idx="1">
                  <c:v>CL2</c:v>
                </c:pt>
                <c:pt idx="2">
                  <c:v>FD1</c:v>
                </c:pt>
                <c:pt idx="3">
                  <c:v>FD4</c:v>
                </c:pt>
                <c:pt idx="4">
                  <c:v>FD5</c:v>
                </c:pt>
                <c:pt idx="5">
                  <c:v>TC3</c:v>
                </c:pt>
                <c:pt idx="6">
                  <c:v>EC1</c:v>
                </c:pt>
                <c:pt idx="7">
                  <c:v>RM1</c:v>
                </c:pt>
                <c:pt idx="8">
                  <c:v>PO1</c:v>
                </c:pt>
                <c:pt idx="9">
                  <c:v>FM3</c:v>
                </c:pt>
              </c:strCache>
            </c:strRef>
          </c:cat>
          <c:val>
            <c:numRef>
              <c:f>RII!$C$5:$C$14</c:f>
              <c:numCache>
                <c:formatCode>0.000</c:formatCode>
                <c:ptCount val="10"/>
                <c:pt idx="0">
                  <c:v>0.67500000000000004</c:v>
                </c:pt>
                <c:pt idx="1">
                  <c:v>0.77900000000000003</c:v>
                </c:pt>
                <c:pt idx="2">
                  <c:v>0.70699999999999996</c:v>
                </c:pt>
                <c:pt idx="3">
                  <c:v>0.71699999999999997</c:v>
                </c:pt>
                <c:pt idx="4">
                  <c:v>0.71399999999999997</c:v>
                </c:pt>
                <c:pt idx="5">
                  <c:v>0.625</c:v>
                </c:pt>
                <c:pt idx="6">
                  <c:v>0.63400000000000001</c:v>
                </c:pt>
                <c:pt idx="7">
                  <c:v>0.67800000000000005</c:v>
                </c:pt>
                <c:pt idx="8">
                  <c:v>0.65600000000000003</c:v>
                </c:pt>
                <c:pt idx="9">
                  <c:v>0.64500000000000002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52-46D1-BF3D-81C9AB73AA34}"/>
            </c:ext>
          </c:extLst>
        </c:ser>
        <c:ser>
          <c:idx val="1"/>
          <c:order val="1"/>
          <c:tx>
            <c:strRef>
              <c:f>RII!$D$4</c:f>
              <c:strCache>
                <c:ptCount val="1"/>
                <c:pt idx="0">
                  <c:v>RII xác suất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RII!$A$5:$A$14</c:f>
              <c:strCache>
                <c:ptCount val="10"/>
                <c:pt idx="0">
                  <c:v>CL1</c:v>
                </c:pt>
                <c:pt idx="1">
                  <c:v>CL2</c:v>
                </c:pt>
                <c:pt idx="2">
                  <c:v>FD1</c:v>
                </c:pt>
                <c:pt idx="3">
                  <c:v>FD4</c:v>
                </c:pt>
                <c:pt idx="4">
                  <c:v>FD5</c:v>
                </c:pt>
                <c:pt idx="5">
                  <c:v>TC3</c:v>
                </c:pt>
                <c:pt idx="6">
                  <c:v>EC1</c:v>
                </c:pt>
                <c:pt idx="7">
                  <c:v>RM1</c:v>
                </c:pt>
                <c:pt idx="8">
                  <c:v>PO1</c:v>
                </c:pt>
                <c:pt idx="9">
                  <c:v>FM3</c:v>
                </c:pt>
              </c:strCache>
            </c:strRef>
          </c:cat>
          <c:val>
            <c:numRef>
              <c:f>RII!$D$5:$D$14</c:f>
              <c:numCache>
                <c:formatCode>0.000</c:formatCode>
                <c:ptCount val="10"/>
                <c:pt idx="0">
                  <c:v>0.82099999999999995</c:v>
                </c:pt>
                <c:pt idx="1">
                  <c:v>0.74199999999999999</c:v>
                </c:pt>
                <c:pt idx="2">
                  <c:v>0.71799999999999997</c:v>
                </c:pt>
                <c:pt idx="3">
                  <c:v>0.79300000000000004</c:v>
                </c:pt>
                <c:pt idx="4">
                  <c:v>0.77900000000000003</c:v>
                </c:pt>
                <c:pt idx="5">
                  <c:v>0.875</c:v>
                </c:pt>
                <c:pt idx="6">
                  <c:v>0.79600000000000004</c:v>
                </c:pt>
                <c:pt idx="7">
                  <c:v>0.75700000000000001</c:v>
                </c:pt>
                <c:pt idx="8">
                  <c:v>0.83599999999999997</c:v>
                </c:pt>
                <c:pt idx="9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52-46D1-BF3D-81C9AB73A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/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AVE tính lại và AVE bài báo công bố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'AVE-CR'!$H$4</c:f>
              <c:strCache>
                <c:ptCount val="1"/>
                <c:pt idx="0">
                  <c:v>AVE tính lại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'AVE-CR'!$F$5:$F$18</c:f>
              <c:strCache>
                <c:ptCount val="14"/>
                <c:pt idx="0">
                  <c:v>CL</c:v>
                </c:pt>
                <c:pt idx="1">
                  <c:v>CO</c:v>
                </c:pt>
                <c:pt idx="2">
                  <c:v>CN</c:v>
                </c:pt>
                <c:pt idx="3">
                  <c:v>FD</c:v>
                </c:pt>
                <c:pt idx="4">
                  <c:v>TC</c:v>
                </c:pt>
                <c:pt idx="5">
                  <c:v>RM</c:v>
                </c:pt>
                <c:pt idx="6">
                  <c:v>MR</c:v>
                </c:pt>
                <c:pt idx="7">
                  <c:v>EC</c:v>
                </c:pt>
                <c:pt idx="8">
                  <c:v>PO</c:v>
                </c:pt>
                <c:pt idx="9">
                  <c:v>LP</c:v>
                </c:pt>
                <c:pt idx="10">
                  <c:v>EN</c:v>
                </c:pt>
                <c:pt idx="11">
                  <c:v>SE</c:v>
                </c:pt>
                <c:pt idx="12">
                  <c:v>FM</c:v>
                </c:pt>
                <c:pt idx="13">
                  <c:v>EF</c:v>
                </c:pt>
              </c:strCache>
            </c:strRef>
          </c:cat>
          <c:val>
            <c:numRef>
              <c:f>'AVE-CR'!$H$5:$H$18</c:f>
              <c:numCache>
                <c:formatCode>0.000</c:formatCode>
                <c:ptCount val="14"/>
                <c:pt idx="0">
                  <c:v>0.59325600000000001</c:v>
                </c:pt>
                <c:pt idx="1">
                  <c:v>0.76408466666666663</c:v>
                </c:pt>
                <c:pt idx="2">
                  <c:v>0.73502699999999999</c:v>
                </c:pt>
                <c:pt idx="3">
                  <c:v>0.76775820000000006</c:v>
                </c:pt>
                <c:pt idx="4">
                  <c:v>0.70497649999999989</c:v>
                </c:pt>
                <c:pt idx="5">
                  <c:v>0.69459760000000004</c:v>
                </c:pt>
                <c:pt idx="6">
                  <c:v>0.80844540000000009</c:v>
                </c:pt>
                <c:pt idx="7">
                  <c:v>0.77893100000000004</c:v>
                </c:pt>
                <c:pt idx="8">
                  <c:v>0.79264224999999999</c:v>
                </c:pt>
                <c:pt idx="9">
                  <c:v>0.73436466666666667</c:v>
                </c:pt>
                <c:pt idx="10">
                  <c:v>0.80527199999999999</c:v>
                </c:pt>
                <c:pt idx="11">
                  <c:v>0.80762700000000009</c:v>
                </c:pt>
                <c:pt idx="12">
                  <c:v>0.76330433333333325</c:v>
                </c:pt>
                <c:pt idx="13">
                  <c:v>0.49430160000000001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34-423D-857B-709CF20B09FA}"/>
            </c:ext>
          </c:extLst>
        </c:ser>
        <c:ser>
          <c:idx val="1"/>
          <c:order val="1"/>
          <c:tx>
            <c:strRef>
              <c:f>'AVE-CR'!$I$4</c:f>
              <c:strCache>
                <c:ptCount val="1"/>
                <c:pt idx="0">
                  <c:v>AVE bài báo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'AVE-CR'!$F$5:$F$18</c:f>
              <c:strCache>
                <c:ptCount val="14"/>
                <c:pt idx="0">
                  <c:v>CL</c:v>
                </c:pt>
                <c:pt idx="1">
                  <c:v>CO</c:v>
                </c:pt>
                <c:pt idx="2">
                  <c:v>CN</c:v>
                </c:pt>
                <c:pt idx="3">
                  <c:v>FD</c:v>
                </c:pt>
                <c:pt idx="4">
                  <c:v>TC</c:v>
                </c:pt>
                <c:pt idx="5">
                  <c:v>RM</c:v>
                </c:pt>
                <c:pt idx="6">
                  <c:v>MR</c:v>
                </c:pt>
                <c:pt idx="7">
                  <c:v>EC</c:v>
                </c:pt>
                <c:pt idx="8">
                  <c:v>PO</c:v>
                </c:pt>
                <c:pt idx="9">
                  <c:v>LP</c:v>
                </c:pt>
                <c:pt idx="10">
                  <c:v>EN</c:v>
                </c:pt>
                <c:pt idx="11">
                  <c:v>SE</c:v>
                </c:pt>
                <c:pt idx="12">
                  <c:v>FM</c:v>
                </c:pt>
                <c:pt idx="13">
                  <c:v>EF</c:v>
                </c:pt>
              </c:strCache>
            </c:strRef>
          </c:cat>
          <c:val>
            <c:numRef>
              <c:f>'AVE-CR'!$I$5:$I$18</c:f>
              <c:numCache>
                <c:formatCode>0.000</c:formatCode>
                <c:ptCount val="14"/>
                <c:pt idx="0">
                  <c:v>0.59299999999999997</c:v>
                </c:pt>
                <c:pt idx="1">
                  <c:v>0.76400000000000001</c:v>
                </c:pt>
                <c:pt idx="2">
                  <c:v>0.73499999999999999</c:v>
                </c:pt>
                <c:pt idx="3">
                  <c:v>0.76800000000000002</c:v>
                </c:pt>
                <c:pt idx="4">
                  <c:v>0.70499999999999996</c:v>
                </c:pt>
                <c:pt idx="5">
                  <c:v>0.69499999999999995</c:v>
                </c:pt>
                <c:pt idx="6">
                  <c:v>0.80800000000000005</c:v>
                </c:pt>
                <c:pt idx="7">
                  <c:v>0.77900000000000003</c:v>
                </c:pt>
                <c:pt idx="8">
                  <c:v>0.79300000000000004</c:v>
                </c:pt>
                <c:pt idx="9">
                  <c:v>0.73399999999999999</c:v>
                </c:pt>
                <c:pt idx="10">
                  <c:v>0.80500000000000005</c:v>
                </c:pt>
                <c:pt idx="11">
                  <c:v>0.80800000000000005</c:v>
                </c:pt>
                <c:pt idx="12">
                  <c:v>0.76300000000000001</c:v>
                </c:pt>
                <c:pt idx="13">
                  <c:v>0.54900000000000004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34-423D-857B-709CF20B0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0.9"/>
          <c:min val="0.4"/>
        </c:scaling>
        <c:delete val="0"/>
        <c:axPos val="l"/>
        <c:majorGridlines/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Hệ số 13 nhóm rủi ro: bài báo và mô phỏng (tổng hiệu ứng)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'Mô phỏng'!$B$4</c:f>
              <c:strCache>
                <c:ptCount val="1"/>
                <c:pt idx="0">
                  <c:v>β bài báo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'Mô phỏng'!$A$5:$A$17</c:f>
              <c:strCache>
                <c:ptCount val="13"/>
                <c:pt idx="0">
                  <c:v>CL</c:v>
                </c:pt>
                <c:pt idx="1">
                  <c:v>CO</c:v>
                </c:pt>
                <c:pt idx="2">
                  <c:v>CN</c:v>
                </c:pt>
                <c:pt idx="3">
                  <c:v>FD</c:v>
                </c:pt>
                <c:pt idx="4">
                  <c:v>TC</c:v>
                </c:pt>
                <c:pt idx="5">
                  <c:v>RM</c:v>
                </c:pt>
                <c:pt idx="6">
                  <c:v>MR</c:v>
                </c:pt>
                <c:pt idx="7">
                  <c:v>EC</c:v>
                </c:pt>
                <c:pt idx="8">
                  <c:v>PO</c:v>
                </c:pt>
                <c:pt idx="9">
                  <c:v>LP</c:v>
                </c:pt>
                <c:pt idx="10">
                  <c:v>EN</c:v>
                </c:pt>
                <c:pt idx="11">
                  <c:v>SE</c:v>
                </c:pt>
                <c:pt idx="12">
                  <c:v>FM</c:v>
                </c:pt>
              </c:strCache>
            </c:strRef>
          </c:cat>
          <c:val>
            <c:numRef>
              <c:f>'Mô phỏng'!$B$5:$B$17</c:f>
              <c:numCache>
                <c:formatCode>0.000</c:formatCode>
                <c:ptCount val="13"/>
                <c:pt idx="0">
                  <c:v>0.16900000000000001</c:v>
                </c:pt>
                <c:pt idx="1">
                  <c:v>0.114</c:v>
                </c:pt>
                <c:pt idx="2">
                  <c:v>9.7000000000000003E-2</c:v>
                </c:pt>
                <c:pt idx="3">
                  <c:v>0.19700000000000001</c:v>
                </c:pt>
                <c:pt idx="4">
                  <c:v>0.14299999999999999</c:v>
                </c:pt>
                <c:pt idx="5">
                  <c:v>0.186</c:v>
                </c:pt>
                <c:pt idx="6">
                  <c:v>0.21299999999999999</c:v>
                </c:pt>
                <c:pt idx="7">
                  <c:v>0.23100000000000001</c:v>
                </c:pt>
                <c:pt idx="8">
                  <c:v>0.23599999999999999</c:v>
                </c:pt>
                <c:pt idx="9">
                  <c:v>0.152</c:v>
                </c:pt>
                <c:pt idx="10">
                  <c:v>0.154</c:v>
                </c:pt>
                <c:pt idx="11">
                  <c:v>0.18</c:v>
                </c:pt>
                <c:pt idx="12">
                  <c:v>0.152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4-4F3A-8354-A2DF737ECD18}"/>
            </c:ext>
          </c:extLst>
        </c:ser>
        <c:ser>
          <c:idx val="1"/>
          <c:order val="1"/>
          <c:tx>
            <c:strRef>
              <c:f>'Mô phỏng'!$C$4</c:f>
              <c:strCache>
                <c:ptCount val="1"/>
                <c:pt idx="0">
                  <c:v>β mô phỏng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'Mô phỏng'!$A$5:$A$17</c:f>
              <c:strCache>
                <c:ptCount val="13"/>
                <c:pt idx="0">
                  <c:v>CL</c:v>
                </c:pt>
                <c:pt idx="1">
                  <c:v>CO</c:v>
                </c:pt>
                <c:pt idx="2">
                  <c:v>CN</c:v>
                </c:pt>
                <c:pt idx="3">
                  <c:v>FD</c:v>
                </c:pt>
                <c:pt idx="4">
                  <c:v>TC</c:v>
                </c:pt>
                <c:pt idx="5">
                  <c:v>RM</c:v>
                </c:pt>
                <c:pt idx="6">
                  <c:v>MR</c:v>
                </c:pt>
                <c:pt idx="7">
                  <c:v>EC</c:v>
                </c:pt>
                <c:pt idx="8">
                  <c:v>PO</c:v>
                </c:pt>
                <c:pt idx="9">
                  <c:v>LP</c:v>
                </c:pt>
                <c:pt idx="10">
                  <c:v>EN</c:v>
                </c:pt>
                <c:pt idx="11">
                  <c:v>SE</c:v>
                </c:pt>
                <c:pt idx="12">
                  <c:v>FM</c:v>
                </c:pt>
              </c:strCache>
            </c:strRef>
          </c:cat>
          <c:val>
            <c:numRef>
              <c:f>'Mô phỏng'!$C$5:$C$17</c:f>
              <c:numCache>
                <c:formatCode>0.000</c:formatCode>
                <c:ptCount val="13"/>
                <c:pt idx="0">
                  <c:v>5.2600000000000001E-2</c:v>
                </c:pt>
                <c:pt idx="1">
                  <c:v>3.95E-2</c:v>
                </c:pt>
                <c:pt idx="2">
                  <c:v>3.2500000000000001E-2</c:v>
                </c:pt>
                <c:pt idx="3">
                  <c:v>6.1400000000000003E-2</c:v>
                </c:pt>
                <c:pt idx="4">
                  <c:v>4.4600000000000001E-2</c:v>
                </c:pt>
                <c:pt idx="5">
                  <c:v>5.4699999999999999E-2</c:v>
                </c:pt>
                <c:pt idx="6">
                  <c:v>6.6100000000000006E-2</c:v>
                </c:pt>
                <c:pt idx="7">
                  <c:v>0.1166</c:v>
                </c:pt>
                <c:pt idx="8">
                  <c:v>0.1149</c:v>
                </c:pt>
                <c:pt idx="9">
                  <c:v>8.2699999999999996E-2</c:v>
                </c:pt>
                <c:pt idx="10">
                  <c:v>8.5099999999999995E-2</c:v>
                </c:pt>
                <c:pt idx="11">
                  <c:v>8.4699999999999998E-2</c:v>
                </c:pt>
                <c:pt idx="12">
                  <c:v>8.1100000000000005E-2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24-4F3A-8354-A2DF737EC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21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/>
  </sheetViews>
  <sheetFormatPr defaultRowHeight="14.4" x14ac:dyDescent="0.3"/>
  <cols>
    <col min="1" max="1" width="20" customWidth="1"/>
  </cols>
  <sheetData>
    <row r="1" spans="1:1" ht="15.6" x14ac:dyDescent="0.3">
      <c r="A1" s="1" t="s">
        <v>0</v>
      </c>
    </row>
    <row r="2" spans="1:1" x14ac:dyDescent="0.3">
      <c r="A2" s="2"/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/>
    </row>
    <row r="6" spans="1:1" x14ac:dyDescent="0.3">
      <c r="A6" s="2" t="s">
        <v>3</v>
      </c>
    </row>
    <row r="7" spans="1:1" x14ac:dyDescent="0.3">
      <c r="A7" s="2" t="s">
        <v>4</v>
      </c>
    </row>
    <row r="8" spans="1:1" x14ac:dyDescent="0.3">
      <c r="A8" s="2" t="s">
        <v>5</v>
      </c>
    </row>
    <row r="9" spans="1:1" x14ac:dyDescent="0.3">
      <c r="A9" s="2" t="s">
        <v>6</v>
      </c>
    </row>
    <row r="10" spans="1:1" x14ac:dyDescent="0.3">
      <c r="A10" s="2"/>
    </row>
    <row r="11" spans="1:1" x14ac:dyDescent="0.3">
      <c r="A11" s="2" t="s">
        <v>7</v>
      </c>
    </row>
    <row r="12" spans="1:1" x14ac:dyDescent="0.3">
      <c r="A12" s="2" t="s">
        <v>8</v>
      </c>
    </row>
    <row r="13" spans="1:1" x14ac:dyDescent="0.3">
      <c r="A13" s="2" t="s">
        <v>9</v>
      </c>
    </row>
    <row r="14" spans="1:1" x14ac:dyDescent="0.3">
      <c r="A14" s="2" t="s">
        <v>10</v>
      </c>
    </row>
    <row r="15" spans="1:1" x14ac:dyDescent="0.3">
      <c r="A15" s="2" t="s">
        <v>11</v>
      </c>
    </row>
    <row r="16" spans="1:1" x14ac:dyDescent="0.3">
      <c r="A16" s="2" t="s">
        <v>12</v>
      </c>
    </row>
    <row r="17" spans="1:2" x14ac:dyDescent="0.3">
      <c r="A17" s="2"/>
    </row>
    <row r="18" spans="1:2" x14ac:dyDescent="0.3">
      <c r="A18" s="2" t="s">
        <v>13</v>
      </c>
    </row>
    <row r="20" spans="1:2" x14ac:dyDescent="0.3">
      <c r="A20" s="3" t="s">
        <v>14</v>
      </c>
      <c r="B20" s="4">
        <v>1.5E-3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32" customWidth="1"/>
    <col min="3" max="4" width="10" customWidth="1"/>
    <col min="5" max="6" width="11" customWidth="1"/>
    <col min="7" max="7" width="10" customWidth="1"/>
    <col min="8" max="12" width="9" customWidth="1"/>
    <col min="13" max="14" width="10" customWidth="1"/>
    <col min="15" max="15" width="11" customWidth="1"/>
  </cols>
  <sheetData>
    <row r="1" spans="1:15" ht="15.6" x14ac:dyDescent="0.3">
      <c r="A1" s="1" t="s">
        <v>15</v>
      </c>
    </row>
    <row r="2" spans="1:15" x14ac:dyDescent="0.3">
      <c r="A2" s="5" t="s">
        <v>16</v>
      </c>
    </row>
    <row r="4" spans="1:15" ht="30" customHeight="1" x14ac:dyDescent="0.3">
      <c r="A4" s="6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6" t="s">
        <v>22</v>
      </c>
      <c r="G4" s="6" t="s">
        <v>23</v>
      </c>
      <c r="H4" s="6" t="s">
        <v>24</v>
      </c>
      <c r="I4" s="6" t="s">
        <v>25</v>
      </c>
      <c r="J4" s="6" t="s">
        <v>26</v>
      </c>
      <c r="K4" s="6" t="s">
        <v>27</v>
      </c>
      <c r="L4" s="6" t="s">
        <v>28</v>
      </c>
      <c r="M4" s="6" t="s">
        <v>29</v>
      </c>
      <c r="N4" s="6" t="s">
        <v>30</v>
      </c>
      <c r="O4" s="6" t="s">
        <v>31</v>
      </c>
    </row>
    <row r="5" spans="1:15" x14ac:dyDescent="0.3">
      <c r="A5" s="7" t="s">
        <v>32</v>
      </c>
      <c r="B5" s="8" t="s">
        <v>33</v>
      </c>
      <c r="C5" s="9">
        <v>0.67500000000000004</v>
      </c>
      <c r="D5" s="9">
        <v>0.82099999999999995</v>
      </c>
      <c r="E5" s="9">
        <v>0.55400000000000005</v>
      </c>
      <c r="F5" s="10">
        <f t="shared" ref="F5:F14" si="0">C5*D5</f>
        <v>0.55417499999999997</v>
      </c>
      <c r="G5" s="11">
        <f t="shared" ref="G5:G14" si="1">F5-E5</f>
        <v>1.7499999999992522E-4</v>
      </c>
      <c r="H5" s="7" t="str">
        <f>IF(ABS(G5)&lt;='Hướng dẫn'!$B$20,"Khớp","Lệch")</f>
        <v>Khớp</v>
      </c>
      <c r="I5" s="12">
        <v>4</v>
      </c>
      <c r="J5" s="7">
        <f t="shared" ref="J5:J14" si="2">RANK(F5,$F$5:$F$14)</f>
        <v>4</v>
      </c>
      <c r="K5" s="7" t="str">
        <f t="shared" ref="K5:K14" si="3">IF(C5&lt;0.2,"VL",IF(C5&lt;0.4,"L",IF(C5&lt;0.6,"M",IF(C5&lt;0.8,"H","VH"))))</f>
        <v>H</v>
      </c>
      <c r="L5" s="7" t="str">
        <f t="shared" ref="L5:L14" si="4">IF(D5&lt;0.2,"VL",IF(D5&lt;0.4,"L",IF(D5&lt;0.6,"M",IF(D5&lt;0.8,"H","VH"))))</f>
        <v>VH</v>
      </c>
      <c r="M5" s="12" t="s">
        <v>34</v>
      </c>
      <c r="N5" s="12" t="s">
        <v>35</v>
      </c>
      <c r="O5" s="7" t="str">
        <f>IF(AND(K5=M5,L5=N5),"Có","Không")</f>
        <v>Có</v>
      </c>
    </row>
    <row r="6" spans="1:15" ht="39.6" x14ac:dyDescent="0.3">
      <c r="A6" s="7" t="s">
        <v>36</v>
      </c>
      <c r="B6" s="8" t="s">
        <v>37</v>
      </c>
      <c r="C6" s="9">
        <v>0.77900000000000003</v>
      </c>
      <c r="D6" s="9">
        <v>0.74199999999999999</v>
      </c>
      <c r="E6" s="9">
        <v>0.57799999999999996</v>
      </c>
      <c r="F6" s="10">
        <f t="shared" si="0"/>
        <v>0.57801800000000003</v>
      </c>
      <c r="G6" s="11">
        <f t="shared" si="1"/>
        <v>1.8000000000073513E-5</v>
      </c>
      <c r="H6" s="7" t="str">
        <f>IF(ABS(G6)&lt;='Hướng dẫn'!$B$20,"Khớp","Lệch")</f>
        <v>Khớp</v>
      </c>
      <c r="I6" s="12">
        <v>1</v>
      </c>
      <c r="J6" s="7">
        <f t="shared" si="2"/>
        <v>1</v>
      </c>
      <c r="K6" s="7" t="str">
        <f t="shared" si="3"/>
        <v>H</v>
      </c>
      <c r="L6" s="7" t="str">
        <f t="shared" si="4"/>
        <v>H</v>
      </c>
      <c r="M6" s="7" t="s">
        <v>38</v>
      </c>
      <c r="N6" s="7" t="s">
        <v>38</v>
      </c>
      <c r="O6" s="7" t="s">
        <v>39</v>
      </c>
    </row>
    <row r="7" spans="1:15" x14ac:dyDescent="0.3">
      <c r="A7" s="7" t="s">
        <v>40</v>
      </c>
      <c r="B7" s="8" t="s">
        <v>41</v>
      </c>
      <c r="C7" s="9">
        <v>0.70699999999999996</v>
      </c>
      <c r="D7" s="9">
        <v>0.71799999999999997</v>
      </c>
      <c r="E7" s="9">
        <v>0.50800000000000001</v>
      </c>
      <c r="F7" s="10">
        <f t="shared" si="0"/>
        <v>0.50762599999999991</v>
      </c>
      <c r="G7" s="11">
        <f t="shared" si="1"/>
        <v>-3.7400000000009648E-4</v>
      </c>
      <c r="H7" s="7" t="str">
        <f>IF(ABS(G7)&lt;='Hướng dẫn'!$B$20,"Khớp","Lệch")</f>
        <v>Khớp</v>
      </c>
      <c r="I7" s="12">
        <v>9</v>
      </c>
      <c r="J7" s="7">
        <f t="shared" si="2"/>
        <v>9</v>
      </c>
      <c r="K7" s="7" t="str">
        <f t="shared" si="3"/>
        <v>H</v>
      </c>
      <c r="L7" s="7" t="str">
        <f t="shared" si="4"/>
        <v>H</v>
      </c>
      <c r="M7" s="12" t="s">
        <v>34</v>
      </c>
      <c r="N7" s="12" t="s">
        <v>35</v>
      </c>
      <c r="O7" s="7" t="str">
        <f>IF(AND(K7=M7,L7=N7),"Có","Không")</f>
        <v>Không</v>
      </c>
    </row>
    <row r="8" spans="1:15" x14ac:dyDescent="0.3">
      <c r="A8" s="7" t="s">
        <v>42</v>
      </c>
      <c r="B8" s="8" t="s">
        <v>43</v>
      </c>
      <c r="C8" s="9">
        <v>0.71699999999999997</v>
      </c>
      <c r="D8" s="9">
        <v>0.79300000000000004</v>
      </c>
      <c r="E8" s="9">
        <v>0.56799999999999995</v>
      </c>
      <c r="F8" s="10">
        <f t="shared" si="0"/>
        <v>0.568581</v>
      </c>
      <c r="G8" s="11">
        <f t="shared" si="1"/>
        <v>5.810000000000537E-4</v>
      </c>
      <c r="H8" s="7" t="str">
        <f>IF(ABS(G8)&lt;='Hướng dẫn'!$B$20,"Khớp","Lệch")</f>
        <v>Khớp</v>
      </c>
      <c r="I8" s="12">
        <v>2</v>
      </c>
      <c r="J8" s="7">
        <f t="shared" si="2"/>
        <v>2</v>
      </c>
      <c r="K8" s="7" t="str">
        <f t="shared" si="3"/>
        <v>H</v>
      </c>
      <c r="L8" s="7" t="str">
        <f t="shared" si="4"/>
        <v>H</v>
      </c>
      <c r="M8" s="12" t="s">
        <v>35</v>
      </c>
      <c r="N8" s="12" t="s">
        <v>35</v>
      </c>
      <c r="O8" s="7" t="str">
        <f>IF(AND(K8=M8,L8=N8),"Có","Không")</f>
        <v>Không</v>
      </c>
    </row>
    <row r="9" spans="1:15" x14ac:dyDescent="0.3">
      <c r="A9" s="7" t="s">
        <v>44</v>
      </c>
      <c r="B9" s="8" t="s">
        <v>45</v>
      </c>
      <c r="C9" s="9">
        <v>0.71399999999999997</v>
      </c>
      <c r="D9" s="9">
        <v>0.77900000000000003</v>
      </c>
      <c r="E9" s="9">
        <v>0.55600000000000005</v>
      </c>
      <c r="F9" s="10">
        <f t="shared" si="0"/>
        <v>0.55620599999999998</v>
      </c>
      <c r="G9" s="11">
        <f t="shared" si="1"/>
        <v>2.0599999999992846E-4</v>
      </c>
      <c r="H9" s="7" t="str">
        <f>IF(ABS(G9)&lt;='Hướng dẫn'!$B$20,"Khớp","Lệch")</f>
        <v>Khớp</v>
      </c>
      <c r="I9" s="12">
        <v>3</v>
      </c>
      <c r="J9" s="7">
        <f t="shared" si="2"/>
        <v>3</v>
      </c>
      <c r="K9" s="7" t="str">
        <f t="shared" si="3"/>
        <v>H</v>
      </c>
      <c r="L9" s="7" t="str">
        <f t="shared" si="4"/>
        <v>H</v>
      </c>
      <c r="M9" s="12" t="s">
        <v>35</v>
      </c>
      <c r="N9" s="12" t="s">
        <v>34</v>
      </c>
      <c r="O9" s="7" t="str">
        <f>IF(AND(K9=M9,L9=N9),"Có","Không")</f>
        <v>Không</v>
      </c>
    </row>
    <row r="10" spans="1:15" ht="39.6" x14ac:dyDescent="0.3">
      <c r="A10" s="7" t="s">
        <v>46</v>
      </c>
      <c r="B10" s="8" t="s">
        <v>47</v>
      </c>
      <c r="C10" s="9">
        <v>0.625</v>
      </c>
      <c r="D10" s="9">
        <v>0.875</v>
      </c>
      <c r="E10" s="9">
        <v>0.54700000000000004</v>
      </c>
      <c r="F10" s="10">
        <f t="shared" si="0"/>
        <v>0.546875</v>
      </c>
      <c r="G10" s="11">
        <f t="shared" si="1"/>
        <v>-1.2500000000004174E-4</v>
      </c>
      <c r="H10" s="7" t="str">
        <f>IF(ABS(G10)&lt;='Hướng dẫn'!$B$20,"Khớp","Lệch")</f>
        <v>Khớp</v>
      </c>
      <c r="I10" s="12">
        <v>7</v>
      </c>
      <c r="J10" s="7">
        <f t="shared" si="2"/>
        <v>7</v>
      </c>
      <c r="K10" s="7" t="str">
        <f t="shared" si="3"/>
        <v>H</v>
      </c>
      <c r="L10" s="7" t="str">
        <f t="shared" si="4"/>
        <v>VH</v>
      </c>
      <c r="M10" s="7" t="s">
        <v>38</v>
      </c>
      <c r="N10" s="7" t="s">
        <v>38</v>
      </c>
      <c r="O10" s="7" t="s">
        <v>39</v>
      </c>
    </row>
    <row r="11" spans="1:15" ht="39.6" x14ac:dyDescent="0.3">
      <c r="A11" s="7" t="s">
        <v>48</v>
      </c>
      <c r="B11" s="8" t="s">
        <v>49</v>
      </c>
      <c r="C11" s="9">
        <v>0.63400000000000001</v>
      </c>
      <c r="D11" s="9">
        <v>0.79600000000000004</v>
      </c>
      <c r="E11" s="9">
        <v>0.504</v>
      </c>
      <c r="F11" s="10">
        <f t="shared" si="0"/>
        <v>0.504664</v>
      </c>
      <c r="G11" s="11">
        <f t="shared" si="1"/>
        <v>6.6399999999999793E-4</v>
      </c>
      <c r="H11" s="7" t="str">
        <f>IF(ABS(G11)&lt;='Hướng dẫn'!$B$20,"Khớp","Lệch")</f>
        <v>Khớp</v>
      </c>
      <c r="I11" s="12">
        <v>10</v>
      </c>
      <c r="J11" s="7">
        <f t="shared" si="2"/>
        <v>10</v>
      </c>
      <c r="K11" s="7" t="str">
        <f t="shared" si="3"/>
        <v>H</v>
      </c>
      <c r="L11" s="7" t="str">
        <f t="shared" si="4"/>
        <v>H</v>
      </c>
      <c r="M11" s="7" t="s">
        <v>38</v>
      </c>
      <c r="N11" s="7" t="s">
        <v>38</v>
      </c>
      <c r="O11" s="7" t="s">
        <v>39</v>
      </c>
    </row>
    <row r="12" spans="1:15" x14ac:dyDescent="0.3">
      <c r="A12" s="7" t="s">
        <v>50</v>
      </c>
      <c r="B12" s="8" t="s">
        <v>51</v>
      </c>
      <c r="C12" s="9">
        <v>0.67800000000000005</v>
      </c>
      <c r="D12" s="9">
        <v>0.75700000000000001</v>
      </c>
      <c r="E12" s="9">
        <v>0.51300000000000001</v>
      </c>
      <c r="F12" s="10">
        <f t="shared" si="0"/>
        <v>0.51324600000000009</v>
      </c>
      <c r="G12" s="11">
        <f t="shared" si="1"/>
        <v>2.4600000000007949E-4</v>
      </c>
      <c r="H12" s="7" t="str">
        <f>IF(ABS(G12)&lt;='Hướng dẫn'!$B$20,"Khớp","Lệch")</f>
        <v>Khớp</v>
      </c>
      <c r="I12" s="12">
        <v>8</v>
      </c>
      <c r="J12" s="7">
        <f t="shared" si="2"/>
        <v>8</v>
      </c>
      <c r="K12" s="7" t="str">
        <f t="shared" si="3"/>
        <v>H</v>
      </c>
      <c r="L12" s="7" t="str">
        <f t="shared" si="4"/>
        <v>H</v>
      </c>
      <c r="M12" s="12" t="s">
        <v>34</v>
      </c>
      <c r="N12" s="12" t="s">
        <v>34</v>
      </c>
      <c r="O12" s="7" t="str">
        <f>IF(AND(K12=M12,L12=N12),"Có","Không")</f>
        <v>Có</v>
      </c>
    </row>
    <row r="13" spans="1:15" x14ac:dyDescent="0.3">
      <c r="A13" s="7" t="s">
        <v>52</v>
      </c>
      <c r="B13" s="8" t="s">
        <v>53</v>
      </c>
      <c r="C13" s="9">
        <v>0.65600000000000003</v>
      </c>
      <c r="D13" s="9">
        <v>0.83599999999999997</v>
      </c>
      <c r="E13" s="9">
        <v>0.54900000000000004</v>
      </c>
      <c r="F13" s="10">
        <f t="shared" si="0"/>
        <v>0.54841600000000001</v>
      </c>
      <c r="G13" s="11">
        <f t="shared" si="1"/>
        <v>-5.8400000000002894E-4</v>
      </c>
      <c r="H13" s="7" t="str">
        <f>IF(ABS(G13)&lt;='Hướng dẫn'!$B$20,"Khớp","Lệch")</f>
        <v>Khớp</v>
      </c>
      <c r="I13" s="12">
        <v>5</v>
      </c>
      <c r="J13" s="7">
        <f t="shared" si="2"/>
        <v>5</v>
      </c>
      <c r="K13" s="7" t="str">
        <f t="shared" si="3"/>
        <v>H</v>
      </c>
      <c r="L13" s="7" t="str">
        <f t="shared" si="4"/>
        <v>VH</v>
      </c>
      <c r="M13" s="12" t="s">
        <v>34</v>
      </c>
      <c r="N13" s="12" t="s">
        <v>35</v>
      </c>
      <c r="O13" s="7" t="str">
        <f>IF(AND(K13=M13,L13=N13),"Có","Không")</f>
        <v>Có</v>
      </c>
    </row>
    <row r="14" spans="1:15" ht="39.6" x14ac:dyDescent="0.3">
      <c r="A14" s="7" t="s">
        <v>54</v>
      </c>
      <c r="B14" s="8" t="s">
        <v>55</v>
      </c>
      <c r="C14" s="9">
        <v>0.64500000000000002</v>
      </c>
      <c r="D14" s="9">
        <v>0.85</v>
      </c>
      <c r="E14" s="9">
        <v>0.54800000000000004</v>
      </c>
      <c r="F14" s="10">
        <f t="shared" si="0"/>
        <v>0.54825000000000002</v>
      </c>
      <c r="G14" s="11">
        <f t="shared" si="1"/>
        <v>2.4999999999997247E-4</v>
      </c>
      <c r="H14" s="7" t="str">
        <f>IF(ABS(G14)&lt;='Hướng dẫn'!$B$20,"Khớp","Lệch")</f>
        <v>Khớp</v>
      </c>
      <c r="I14" s="12">
        <v>6</v>
      </c>
      <c r="J14" s="7">
        <f t="shared" si="2"/>
        <v>6</v>
      </c>
      <c r="K14" s="7" t="str">
        <f t="shared" si="3"/>
        <v>H</v>
      </c>
      <c r="L14" s="7" t="str">
        <f t="shared" si="4"/>
        <v>VH</v>
      </c>
      <c r="M14" s="7" t="s">
        <v>38</v>
      </c>
      <c r="N14" s="7" t="s">
        <v>38</v>
      </c>
      <c r="O14" s="7" t="s">
        <v>39</v>
      </c>
    </row>
    <row r="16" spans="1:15" x14ac:dyDescent="0.3">
      <c r="B16" s="13" t="s">
        <v>56</v>
      </c>
      <c r="H16" s="14" t="str">
        <f>COUNTIF(H5:H14,"Khớp")&amp;"/"&amp;COUNTA(H5:H14)</f>
        <v>10/10</v>
      </c>
    </row>
    <row r="17" spans="2:15" x14ac:dyDescent="0.3">
      <c r="B17" s="13" t="s">
        <v>57</v>
      </c>
      <c r="O17" s="14" t="str">
        <f>COUNTIF(O5:O14,"Có")&amp;"/"&amp;(COUNTIF(O5:O14,"Có")+COUNTIF(O5:O14,"Không"))</f>
        <v>3/6</v>
      </c>
    </row>
  </sheetData>
  <conditionalFormatting sqref="H5:H14">
    <cfRule type="cellIs" dxfId="13" priority="1" operator="equal">
      <formula>"Khớp"</formula>
    </cfRule>
    <cfRule type="cellIs" dxfId="12" priority="2" operator="equal">
      <formula>"Lệch"</formula>
    </cfRule>
  </conditionalFormatting>
  <conditionalFormatting sqref="O5:O14">
    <cfRule type="cellIs" dxfId="11" priority="3" operator="equal">
      <formula>"Có"</formula>
    </cfRule>
    <cfRule type="cellIs" dxfId="10" priority="4" operator="equal">
      <formula>"Không"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0"/>
  <sheetViews>
    <sheetView workbookViewId="0"/>
  </sheetViews>
  <sheetFormatPr defaultRowHeight="14.4" x14ac:dyDescent="0.3"/>
  <cols>
    <col min="1" max="2" width="7" customWidth="1"/>
    <col min="3" max="3" width="10" customWidth="1"/>
    <col min="4" max="4" width="9" customWidth="1"/>
    <col min="6" max="6" width="8" customWidth="1"/>
    <col min="7" max="7" width="7" customWidth="1"/>
    <col min="8" max="14" width="10" customWidth="1"/>
  </cols>
  <sheetData>
    <row r="1" spans="1:14" ht="15.6" x14ac:dyDescent="0.3">
      <c r="A1" s="1" t="s">
        <v>58</v>
      </c>
    </row>
    <row r="2" spans="1:14" x14ac:dyDescent="0.3">
      <c r="A2" s="5" t="s">
        <v>59</v>
      </c>
    </row>
    <row r="4" spans="1:14" ht="30" customHeight="1" x14ac:dyDescent="0.3">
      <c r="A4" s="6" t="s">
        <v>60</v>
      </c>
      <c r="B4" s="6" t="s">
        <v>61</v>
      </c>
      <c r="C4" s="6" t="s">
        <v>62</v>
      </c>
      <c r="D4" s="6" t="s">
        <v>63</v>
      </c>
      <c r="F4" s="6" t="s">
        <v>60</v>
      </c>
      <c r="G4" s="6" t="s">
        <v>64</v>
      </c>
      <c r="H4" s="6" t="s">
        <v>65</v>
      </c>
      <c r="I4" s="6" t="s">
        <v>66</v>
      </c>
      <c r="J4" s="6" t="s">
        <v>67</v>
      </c>
      <c r="K4" s="6" t="s">
        <v>68</v>
      </c>
      <c r="L4" s="6" t="s">
        <v>69</v>
      </c>
      <c r="M4" s="6" t="s">
        <v>70</v>
      </c>
      <c r="N4" s="6" t="s">
        <v>71</v>
      </c>
    </row>
    <row r="5" spans="1:14" x14ac:dyDescent="0.3">
      <c r="A5" s="7" t="s">
        <v>72</v>
      </c>
      <c r="B5" s="7" t="s">
        <v>32</v>
      </c>
      <c r="C5" s="9">
        <v>0.82099999999999995</v>
      </c>
      <c r="D5" s="15">
        <f t="shared" ref="D5:D36" si="0">C5^2</f>
        <v>0.67404099999999989</v>
      </c>
      <c r="F5" s="7" t="s">
        <v>72</v>
      </c>
      <c r="G5" s="7">
        <f t="shared" ref="G5:G18" si="1">COUNTIF($A$5:$A$60,F5)</f>
        <v>6</v>
      </c>
      <c r="H5" s="15">
        <f t="shared" ref="H5:H18" si="2">SUMIF($A$5:$A$60,F5,$D$5:$D$60)/G5</f>
        <v>0.59325600000000001</v>
      </c>
      <c r="I5" s="9">
        <v>0.59299999999999997</v>
      </c>
      <c r="J5" s="7" t="str">
        <f>IF(ABS(H5-I5)&lt;='Hướng dẫn'!$B$20,"Khớp","Lệch")</f>
        <v>Khớp</v>
      </c>
      <c r="K5" s="15">
        <f t="shared" ref="K5:K18" si="3">SUMIF($A$5:$A$60,F5,$C$5:$C$60)^2/(SUMIF($A$5:$A$60,F5,$C$5:$C$60)^2+G5-SUMIF($A$5:$A$60,F5,$D$5:$D$60))</f>
        <v>0.89723462096891016</v>
      </c>
      <c r="L5" s="9">
        <v>0.89700000000000002</v>
      </c>
      <c r="M5" s="7" t="str">
        <f>IF(ABS(K5-L5)&lt;='Hướng dẫn'!$B$20,"Khớp","Lệch")</f>
        <v>Khớp</v>
      </c>
      <c r="N5" s="7" t="str">
        <f t="shared" ref="N5:N18" si="4">IF(H5&gt;=0.5,"Đạt","Không đạt")</f>
        <v>Đạt</v>
      </c>
    </row>
    <row r="6" spans="1:14" x14ac:dyDescent="0.3">
      <c r="A6" s="7" t="s">
        <v>72</v>
      </c>
      <c r="B6" s="7" t="s">
        <v>36</v>
      </c>
      <c r="C6" s="9">
        <v>0.80900000000000005</v>
      </c>
      <c r="D6" s="15">
        <f t="shared" si="0"/>
        <v>0.65448100000000009</v>
      </c>
      <c r="F6" s="7" t="s">
        <v>73</v>
      </c>
      <c r="G6" s="7">
        <f t="shared" si="1"/>
        <v>3</v>
      </c>
      <c r="H6" s="15">
        <f t="shared" si="2"/>
        <v>0.76408466666666663</v>
      </c>
      <c r="I6" s="9">
        <v>0.76400000000000001</v>
      </c>
      <c r="J6" s="7" t="str">
        <f>IF(ABS(H6-I6)&lt;='Hướng dẫn'!$B$20,"Khớp","Lệch")</f>
        <v>Khớp</v>
      </c>
      <c r="K6" s="15">
        <f t="shared" si="3"/>
        <v>0.9066622003183592</v>
      </c>
      <c r="L6" s="9">
        <v>0.90700000000000003</v>
      </c>
      <c r="M6" s="7" t="str">
        <f>IF(ABS(K6-L6)&lt;='Hướng dẫn'!$B$20,"Khớp","Lệch")</f>
        <v>Khớp</v>
      </c>
      <c r="N6" s="7" t="str">
        <f t="shared" si="4"/>
        <v>Đạt</v>
      </c>
    </row>
    <row r="7" spans="1:14" x14ac:dyDescent="0.3">
      <c r="A7" s="7" t="s">
        <v>72</v>
      </c>
      <c r="B7" s="7" t="s">
        <v>74</v>
      </c>
      <c r="C7" s="9">
        <v>0.76700000000000002</v>
      </c>
      <c r="D7" s="15">
        <f t="shared" si="0"/>
        <v>0.58828900000000006</v>
      </c>
      <c r="F7" s="7" t="s">
        <v>75</v>
      </c>
      <c r="G7" s="7">
        <f t="shared" si="1"/>
        <v>3</v>
      </c>
      <c r="H7" s="15">
        <f t="shared" si="2"/>
        <v>0.73502699999999999</v>
      </c>
      <c r="I7" s="9">
        <v>0.73499999999999999</v>
      </c>
      <c r="J7" s="7" t="str">
        <f>IF(ABS(H7-I7)&lt;='Hướng dẫn'!$B$20,"Khớp","Lệch")</f>
        <v>Khớp</v>
      </c>
      <c r="K7" s="15">
        <f t="shared" si="3"/>
        <v>0.89265046671420234</v>
      </c>
      <c r="L7" s="9">
        <v>0.89300000000000002</v>
      </c>
      <c r="M7" s="7" t="str">
        <f>IF(ABS(K7-L7)&lt;='Hướng dẫn'!$B$20,"Khớp","Lệch")</f>
        <v>Khớp</v>
      </c>
      <c r="N7" s="7" t="str">
        <f t="shared" si="4"/>
        <v>Đạt</v>
      </c>
    </row>
    <row r="8" spans="1:14" x14ac:dyDescent="0.3">
      <c r="A8" s="7" t="s">
        <v>72</v>
      </c>
      <c r="B8" s="7" t="s">
        <v>76</v>
      </c>
      <c r="C8" s="9">
        <v>0.72799999999999998</v>
      </c>
      <c r="D8" s="15">
        <f t="shared" si="0"/>
        <v>0.52998400000000001</v>
      </c>
      <c r="F8" s="7" t="s">
        <v>77</v>
      </c>
      <c r="G8" s="7">
        <f t="shared" si="1"/>
        <v>5</v>
      </c>
      <c r="H8" s="15">
        <f t="shared" si="2"/>
        <v>0.76775820000000006</v>
      </c>
      <c r="I8" s="9">
        <v>0.76800000000000002</v>
      </c>
      <c r="J8" s="7" t="str">
        <f>IF(ABS(H8-I8)&lt;='Hướng dẫn'!$B$20,"Khớp","Lệch")</f>
        <v>Khớp</v>
      </c>
      <c r="K8" s="15">
        <f t="shared" si="3"/>
        <v>0.94285202598627971</v>
      </c>
      <c r="L8" s="9">
        <v>0.94299999999999995</v>
      </c>
      <c r="M8" s="7" t="str">
        <f>IF(ABS(K8-L8)&lt;='Hướng dẫn'!$B$20,"Khớp","Lệch")</f>
        <v>Khớp</v>
      </c>
      <c r="N8" s="7" t="str">
        <f t="shared" si="4"/>
        <v>Đạt</v>
      </c>
    </row>
    <row r="9" spans="1:14" x14ac:dyDescent="0.3">
      <c r="A9" s="7" t="s">
        <v>72</v>
      </c>
      <c r="B9" s="7" t="s">
        <v>78</v>
      </c>
      <c r="C9" s="9">
        <v>0.77</v>
      </c>
      <c r="D9" s="15">
        <f t="shared" si="0"/>
        <v>0.59289999999999998</v>
      </c>
      <c r="F9" s="7" t="s">
        <v>79</v>
      </c>
      <c r="G9" s="7">
        <f t="shared" si="1"/>
        <v>4</v>
      </c>
      <c r="H9" s="15">
        <f t="shared" si="2"/>
        <v>0.70497649999999989</v>
      </c>
      <c r="I9" s="9">
        <v>0.70499999999999996</v>
      </c>
      <c r="J9" s="7" t="str">
        <f>IF(ABS(H9-I9)&lt;='Hướng dẫn'!$B$20,"Khớp","Lệch")</f>
        <v>Khớp</v>
      </c>
      <c r="K9" s="15">
        <f t="shared" si="3"/>
        <v>0.90515871389386493</v>
      </c>
      <c r="L9" s="9">
        <v>0.90500000000000003</v>
      </c>
      <c r="M9" s="7" t="str">
        <f>IF(ABS(K9-L9)&lt;='Hướng dẫn'!$B$20,"Khớp","Lệch")</f>
        <v>Khớp</v>
      </c>
      <c r="N9" s="7" t="str">
        <f t="shared" si="4"/>
        <v>Đạt</v>
      </c>
    </row>
    <row r="10" spans="1:14" x14ac:dyDescent="0.3">
      <c r="A10" s="7" t="s">
        <v>72</v>
      </c>
      <c r="B10" s="7" t="s">
        <v>80</v>
      </c>
      <c r="C10" s="9">
        <v>0.72099999999999997</v>
      </c>
      <c r="D10" s="15">
        <f t="shared" si="0"/>
        <v>0.519841</v>
      </c>
      <c r="F10" s="7" t="s">
        <v>81</v>
      </c>
      <c r="G10" s="7">
        <f t="shared" si="1"/>
        <v>5</v>
      </c>
      <c r="H10" s="15">
        <f t="shared" si="2"/>
        <v>0.69459760000000004</v>
      </c>
      <c r="I10" s="9">
        <v>0.69499999999999995</v>
      </c>
      <c r="J10" s="7" t="str">
        <f>IF(ABS(H10-I10)&lt;='Hướng dẫn'!$B$20,"Khớp","Lệch")</f>
        <v>Khớp</v>
      </c>
      <c r="K10" s="15">
        <f t="shared" si="3"/>
        <v>0.91898820834095529</v>
      </c>
      <c r="L10" s="9">
        <v>0.91900000000000004</v>
      </c>
      <c r="M10" s="7" t="str">
        <f>IF(ABS(K10-L10)&lt;='Hướng dẫn'!$B$20,"Khớp","Lệch")</f>
        <v>Khớp</v>
      </c>
      <c r="N10" s="7" t="str">
        <f t="shared" si="4"/>
        <v>Đạt</v>
      </c>
    </row>
    <row r="11" spans="1:14" x14ac:dyDescent="0.3">
      <c r="A11" s="7" t="s">
        <v>73</v>
      </c>
      <c r="B11" s="7" t="s">
        <v>82</v>
      </c>
      <c r="C11" s="9">
        <v>0.85499999999999998</v>
      </c>
      <c r="D11" s="15">
        <f t="shared" si="0"/>
        <v>0.73102499999999992</v>
      </c>
      <c r="F11" s="7" t="s">
        <v>83</v>
      </c>
      <c r="G11" s="7">
        <f t="shared" si="1"/>
        <v>5</v>
      </c>
      <c r="H11" s="15">
        <f t="shared" si="2"/>
        <v>0.80844540000000009</v>
      </c>
      <c r="I11" s="9">
        <v>0.80800000000000005</v>
      </c>
      <c r="J11" s="7" t="str">
        <f>IF(ABS(H11-I11)&lt;='Hướng dẫn'!$B$20,"Khớp","Lệch")</f>
        <v>Khớp</v>
      </c>
      <c r="K11" s="15">
        <f t="shared" si="3"/>
        <v>0.95474261012178074</v>
      </c>
      <c r="L11" s="9">
        <v>0.95499999999999996</v>
      </c>
      <c r="M11" s="7" t="str">
        <f>IF(ABS(K11-L11)&lt;='Hướng dẫn'!$B$20,"Khớp","Lệch")</f>
        <v>Khớp</v>
      </c>
      <c r="N11" s="7" t="str">
        <f t="shared" si="4"/>
        <v>Đạt</v>
      </c>
    </row>
    <row r="12" spans="1:14" x14ac:dyDescent="0.3">
      <c r="A12" s="7" t="s">
        <v>73</v>
      </c>
      <c r="B12" s="7" t="s">
        <v>84</v>
      </c>
      <c r="C12" s="9">
        <v>0.877</v>
      </c>
      <c r="D12" s="15">
        <f t="shared" si="0"/>
        <v>0.76912899999999995</v>
      </c>
      <c r="F12" s="7" t="s">
        <v>85</v>
      </c>
      <c r="G12" s="7">
        <f t="shared" si="1"/>
        <v>4</v>
      </c>
      <c r="H12" s="15">
        <f t="shared" si="2"/>
        <v>0.77893100000000004</v>
      </c>
      <c r="I12" s="9">
        <v>0.77900000000000003</v>
      </c>
      <c r="J12" s="7" t="str">
        <f>IF(ABS(H12-I12)&lt;='Hướng dẫn'!$B$20,"Khớp","Lệch")</f>
        <v>Khớp</v>
      </c>
      <c r="K12" s="15">
        <f t="shared" si="3"/>
        <v>0.9337381537718199</v>
      </c>
      <c r="L12" s="9">
        <v>0.93400000000000005</v>
      </c>
      <c r="M12" s="7" t="str">
        <f>IF(ABS(K12-L12)&lt;='Hướng dẫn'!$B$20,"Khớp","Lệch")</f>
        <v>Khớp</v>
      </c>
      <c r="N12" s="7" t="str">
        <f t="shared" si="4"/>
        <v>Đạt</v>
      </c>
    </row>
    <row r="13" spans="1:14" x14ac:dyDescent="0.3">
      <c r="A13" s="7" t="s">
        <v>73</v>
      </c>
      <c r="B13" s="7" t="s">
        <v>86</v>
      </c>
      <c r="C13" s="9">
        <v>0.89</v>
      </c>
      <c r="D13" s="15">
        <f t="shared" si="0"/>
        <v>0.79210000000000003</v>
      </c>
      <c r="F13" s="7" t="s">
        <v>87</v>
      </c>
      <c r="G13" s="7">
        <f t="shared" si="1"/>
        <v>4</v>
      </c>
      <c r="H13" s="15">
        <f t="shared" si="2"/>
        <v>0.79264224999999999</v>
      </c>
      <c r="I13" s="9">
        <v>0.79300000000000004</v>
      </c>
      <c r="J13" s="7" t="str">
        <f>IF(ABS(H13-I13)&lt;='Hướng dẫn'!$B$20,"Khớp","Lệch")</f>
        <v>Khớp</v>
      </c>
      <c r="K13" s="15">
        <f t="shared" si="3"/>
        <v>0.93860683432725256</v>
      </c>
      <c r="L13" s="9">
        <v>0.93899999999999995</v>
      </c>
      <c r="M13" s="7" t="str">
        <f>IF(ABS(K13-L13)&lt;='Hướng dẫn'!$B$20,"Khớp","Lệch")</f>
        <v>Khớp</v>
      </c>
      <c r="N13" s="7" t="str">
        <f t="shared" si="4"/>
        <v>Đạt</v>
      </c>
    </row>
    <row r="14" spans="1:14" x14ac:dyDescent="0.3">
      <c r="A14" s="7" t="s">
        <v>75</v>
      </c>
      <c r="B14" s="7" t="s">
        <v>88</v>
      </c>
      <c r="C14" s="9">
        <v>0.874</v>
      </c>
      <c r="D14" s="15">
        <f t="shared" si="0"/>
        <v>0.763876</v>
      </c>
      <c r="F14" s="7" t="s">
        <v>89</v>
      </c>
      <c r="G14" s="7">
        <f t="shared" si="1"/>
        <v>3</v>
      </c>
      <c r="H14" s="15">
        <f t="shared" si="2"/>
        <v>0.73436466666666667</v>
      </c>
      <c r="I14" s="9">
        <v>0.73399999999999999</v>
      </c>
      <c r="J14" s="7" t="str">
        <f>IF(ABS(H14-I14)&lt;='Hướng dẫn'!$B$20,"Khớp","Lệch")</f>
        <v>Khớp</v>
      </c>
      <c r="K14" s="15">
        <f t="shared" si="3"/>
        <v>0.89218659736211592</v>
      </c>
      <c r="L14" s="9">
        <v>0.89200000000000002</v>
      </c>
      <c r="M14" s="7" t="str">
        <f>IF(ABS(K14-L14)&lt;='Hướng dẫn'!$B$20,"Khớp","Lệch")</f>
        <v>Khớp</v>
      </c>
      <c r="N14" s="7" t="str">
        <f t="shared" si="4"/>
        <v>Đạt</v>
      </c>
    </row>
    <row r="15" spans="1:14" x14ac:dyDescent="0.3">
      <c r="A15" s="7" t="s">
        <v>75</v>
      </c>
      <c r="B15" s="7" t="s">
        <v>90</v>
      </c>
      <c r="C15" s="9">
        <v>0.82299999999999995</v>
      </c>
      <c r="D15" s="15">
        <f t="shared" si="0"/>
        <v>0.67732899999999996</v>
      </c>
      <c r="F15" s="7" t="s">
        <v>91</v>
      </c>
      <c r="G15" s="7">
        <f t="shared" si="1"/>
        <v>3</v>
      </c>
      <c r="H15" s="15">
        <f t="shared" si="2"/>
        <v>0.80527199999999999</v>
      </c>
      <c r="I15" s="9">
        <v>0.80500000000000005</v>
      </c>
      <c r="J15" s="7" t="str">
        <f>IF(ABS(H15-I15)&lt;='Hướng dẫn'!$B$20,"Khớp","Lệch")</f>
        <v>Khớp</v>
      </c>
      <c r="K15" s="15">
        <f t="shared" si="3"/>
        <v>0.92540155544953862</v>
      </c>
      <c r="L15" s="9">
        <v>0.92500000000000004</v>
      </c>
      <c r="M15" s="7" t="str">
        <f>IF(ABS(K15-L15)&lt;='Hướng dẫn'!$B$20,"Khớp","Lệch")</f>
        <v>Khớp</v>
      </c>
      <c r="N15" s="7" t="str">
        <f t="shared" si="4"/>
        <v>Đạt</v>
      </c>
    </row>
    <row r="16" spans="1:14" x14ac:dyDescent="0.3">
      <c r="A16" s="7" t="s">
        <v>75</v>
      </c>
      <c r="B16" s="7" t="s">
        <v>92</v>
      </c>
      <c r="C16" s="9">
        <v>0.874</v>
      </c>
      <c r="D16" s="15">
        <f t="shared" si="0"/>
        <v>0.763876</v>
      </c>
      <c r="F16" s="7" t="s">
        <v>93</v>
      </c>
      <c r="G16" s="7">
        <f t="shared" si="1"/>
        <v>3</v>
      </c>
      <c r="H16" s="15">
        <f t="shared" si="2"/>
        <v>0.80762700000000009</v>
      </c>
      <c r="I16" s="9">
        <v>0.80800000000000005</v>
      </c>
      <c r="J16" s="7" t="str">
        <f>IF(ABS(H16-I16)&lt;='Hướng dẫn'!$B$20,"Khớp","Lệch")</f>
        <v>Khớp</v>
      </c>
      <c r="K16" s="15">
        <f t="shared" si="3"/>
        <v>0.92638923468752621</v>
      </c>
      <c r="L16" s="9">
        <v>0.92600000000000005</v>
      </c>
      <c r="M16" s="7" t="str">
        <f>IF(ABS(K16-L16)&lt;='Hướng dẫn'!$B$20,"Khớp","Lệch")</f>
        <v>Khớp</v>
      </c>
      <c r="N16" s="7" t="str">
        <f t="shared" si="4"/>
        <v>Đạt</v>
      </c>
    </row>
    <row r="17" spans="1:14" x14ac:dyDescent="0.3">
      <c r="A17" s="7" t="s">
        <v>77</v>
      </c>
      <c r="B17" s="7" t="s">
        <v>40</v>
      </c>
      <c r="C17" s="9">
        <v>0.876</v>
      </c>
      <c r="D17" s="15">
        <f t="shared" si="0"/>
        <v>0.76737599999999995</v>
      </c>
      <c r="F17" s="7" t="s">
        <v>94</v>
      </c>
      <c r="G17" s="7">
        <f t="shared" si="1"/>
        <v>3</v>
      </c>
      <c r="H17" s="15">
        <f t="shared" si="2"/>
        <v>0.76330433333333325</v>
      </c>
      <c r="I17" s="9">
        <v>0.76300000000000001</v>
      </c>
      <c r="J17" s="7" t="str">
        <f>IF(ABS(H17-I17)&lt;='Hướng dẫn'!$B$20,"Khớp","Lệch")</f>
        <v>Khớp</v>
      </c>
      <c r="K17" s="15">
        <f t="shared" si="3"/>
        <v>0.90631761456347781</v>
      </c>
      <c r="L17" s="9">
        <v>0.90600000000000003</v>
      </c>
      <c r="M17" s="7" t="str">
        <f>IF(ABS(K17-L17)&lt;='Hướng dẫn'!$B$20,"Khớp","Lệch")</f>
        <v>Khớp</v>
      </c>
      <c r="N17" s="7" t="str">
        <f t="shared" si="4"/>
        <v>Đạt</v>
      </c>
    </row>
    <row r="18" spans="1:14" x14ac:dyDescent="0.3">
      <c r="A18" s="7" t="s">
        <v>77</v>
      </c>
      <c r="B18" s="7" t="s">
        <v>95</v>
      </c>
      <c r="C18" s="9">
        <v>0.80300000000000005</v>
      </c>
      <c r="D18" s="15">
        <f t="shared" si="0"/>
        <v>0.64480900000000008</v>
      </c>
      <c r="F18" s="7" t="s">
        <v>96</v>
      </c>
      <c r="G18" s="7">
        <f t="shared" si="1"/>
        <v>5</v>
      </c>
      <c r="H18" s="15">
        <f t="shared" si="2"/>
        <v>0.49430160000000001</v>
      </c>
      <c r="I18" s="9">
        <v>0.54900000000000004</v>
      </c>
      <c r="J18" s="7" t="str">
        <f>IF(ABS(H18-I18)&lt;='Hướng dẫn'!$B$20,"Khớp","Lệch")</f>
        <v>Lệch</v>
      </c>
      <c r="K18" s="15">
        <f t="shared" si="3"/>
        <v>0.82793095385282089</v>
      </c>
      <c r="L18" s="9">
        <v>0.82599999999999996</v>
      </c>
      <c r="M18" s="7" t="str">
        <f>IF(ABS(K18-L18)&lt;='Hướng dẫn'!$B$20,"Khớp","Lệch")</f>
        <v>Lệch</v>
      </c>
      <c r="N18" s="7" t="str">
        <f t="shared" si="4"/>
        <v>Không đạt</v>
      </c>
    </row>
    <row r="19" spans="1:14" x14ac:dyDescent="0.3">
      <c r="A19" s="7" t="s">
        <v>77</v>
      </c>
      <c r="B19" s="7" t="s">
        <v>97</v>
      </c>
      <c r="C19" s="9">
        <v>0.89400000000000002</v>
      </c>
      <c r="D19" s="15">
        <f t="shared" si="0"/>
        <v>0.79923600000000006</v>
      </c>
    </row>
    <row r="20" spans="1:14" ht="114" x14ac:dyDescent="0.3">
      <c r="A20" s="7" t="s">
        <v>77</v>
      </c>
      <c r="B20" s="7" t="s">
        <v>42</v>
      </c>
      <c r="C20" s="9">
        <v>0.91100000000000003</v>
      </c>
      <c r="D20" s="15">
        <f t="shared" si="0"/>
        <v>0.82992100000000002</v>
      </c>
      <c r="F20" s="16" t="s">
        <v>98</v>
      </c>
    </row>
    <row r="21" spans="1:14" x14ac:dyDescent="0.3">
      <c r="A21" s="7" t="s">
        <v>77</v>
      </c>
      <c r="B21" s="7" t="s">
        <v>44</v>
      </c>
      <c r="C21" s="9">
        <v>0.89300000000000002</v>
      </c>
      <c r="D21" s="15">
        <f t="shared" si="0"/>
        <v>0.79744900000000007</v>
      </c>
    </row>
    <row r="22" spans="1:14" x14ac:dyDescent="0.3">
      <c r="A22" s="7" t="s">
        <v>79</v>
      </c>
      <c r="B22" s="7" t="s">
        <v>99</v>
      </c>
      <c r="C22" s="9">
        <v>0.78400000000000003</v>
      </c>
      <c r="D22" s="15">
        <f t="shared" si="0"/>
        <v>0.61465600000000009</v>
      </c>
    </row>
    <row r="23" spans="1:14" x14ac:dyDescent="0.3">
      <c r="A23" s="7" t="s">
        <v>79</v>
      </c>
      <c r="B23" s="7" t="s">
        <v>100</v>
      </c>
      <c r="C23" s="9">
        <v>0.85499999999999998</v>
      </c>
      <c r="D23" s="15">
        <f t="shared" si="0"/>
        <v>0.73102499999999992</v>
      </c>
    </row>
    <row r="24" spans="1:14" x14ac:dyDescent="0.3">
      <c r="A24" s="7" t="s">
        <v>79</v>
      </c>
      <c r="B24" s="7" t="s">
        <v>46</v>
      </c>
      <c r="C24" s="9">
        <v>0.86799999999999999</v>
      </c>
      <c r="D24" s="15">
        <f t="shared" si="0"/>
        <v>0.75342399999999998</v>
      </c>
    </row>
    <row r="25" spans="1:14" x14ac:dyDescent="0.3">
      <c r="A25" s="7" t="s">
        <v>79</v>
      </c>
      <c r="B25" s="7" t="s">
        <v>101</v>
      </c>
      <c r="C25" s="9">
        <v>0.84899999999999998</v>
      </c>
      <c r="D25" s="15">
        <f t="shared" si="0"/>
        <v>0.72080099999999991</v>
      </c>
    </row>
    <row r="26" spans="1:14" x14ac:dyDescent="0.3">
      <c r="A26" s="7" t="s">
        <v>81</v>
      </c>
      <c r="B26" s="7" t="s">
        <v>50</v>
      </c>
      <c r="C26" s="9">
        <v>0.83299999999999996</v>
      </c>
      <c r="D26" s="15">
        <f t="shared" si="0"/>
        <v>0.69388899999999998</v>
      </c>
    </row>
    <row r="27" spans="1:14" x14ac:dyDescent="0.3">
      <c r="A27" s="7" t="s">
        <v>81</v>
      </c>
      <c r="B27" s="7" t="s">
        <v>102</v>
      </c>
      <c r="C27" s="9">
        <v>0.75700000000000001</v>
      </c>
      <c r="D27" s="15">
        <f t="shared" si="0"/>
        <v>0.57304900000000003</v>
      </c>
    </row>
    <row r="28" spans="1:14" x14ac:dyDescent="0.3">
      <c r="A28" s="7" t="s">
        <v>81</v>
      </c>
      <c r="B28" s="7" t="s">
        <v>103</v>
      </c>
      <c r="C28" s="9">
        <v>0.84499999999999997</v>
      </c>
      <c r="D28" s="15">
        <f t="shared" si="0"/>
        <v>0.71402499999999991</v>
      </c>
    </row>
    <row r="29" spans="1:14" x14ac:dyDescent="0.3">
      <c r="A29" s="7" t="s">
        <v>81</v>
      </c>
      <c r="B29" s="7" t="s">
        <v>104</v>
      </c>
      <c r="C29" s="9">
        <v>0.88300000000000001</v>
      </c>
      <c r="D29" s="15">
        <f t="shared" si="0"/>
        <v>0.77968899999999997</v>
      </c>
    </row>
    <row r="30" spans="1:14" x14ac:dyDescent="0.3">
      <c r="A30" s="7" t="s">
        <v>81</v>
      </c>
      <c r="B30" s="7" t="s">
        <v>105</v>
      </c>
      <c r="C30" s="9">
        <v>0.84399999999999997</v>
      </c>
      <c r="D30" s="15">
        <f t="shared" si="0"/>
        <v>0.71233599999999997</v>
      </c>
    </row>
    <row r="31" spans="1:14" x14ac:dyDescent="0.3">
      <c r="A31" s="7" t="s">
        <v>83</v>
      </c>
      <c r="B31" s="7" t="s">
        <v>106</v>
      </c>
      <c r="C31" s="9">
        <v>0.88</v>
      </c>
      <c r="D31" s="15">
        <f t="shared" si="0"/>
        <v>0.77439999999999998</v>
      </c>
    </row>
    <row r="32" spans="1:14" x14ac:dyDescent="0.3">
      <c r="A32" s="7" t="s">
        <v>83</v>
      </c>
      <c r="B32" s="7" t="s">
        <v>107</v>
      </c>
      <c r="C32" s="9">
        <v>0.89300000000000002</v>
      </c>
      <c r="D32" s="15">
        <f t="shared" si="0"/>
        <v>0.79744900000000007</v>
      </c>
    </row>
    <row r="33" spans="1:4" x14ac:dyDescent="0.3">
      <c r="A33" s="7" t="s">
        <v>83</v>
      </c>
      <c r="B33" s="7" t="s">
        <v>108</v>
      </c>
      <c r="C33" s="9">
        <v>0.92400000000000004</v>
      </c>
      <c r="D33" s="15">
        <f t="shared" si="0"/>
        <v>0.85377600000000009</v>
      </c>
    </row>
    <row r="34" spans="1:4" x14ac:dyDescent="0.3">
      <c r="A34" s="7" t="s">
        <v>83</v>
      </c>
      <c r="B34" s="7" t="s">
        <v>109</v>
      </c>
      <c r="C34" s="9">
        <v>0.90900000000000003</v>
      </c>
      <c r="D34" s="15">
        <f t="shared" si="0"/>
        <v>0.82628100000000004</v>
      </c>
    </row>
    <row r="35" spans="1:4" x14ac:dyDescent="0.3">
      <c r="A35" s="7" t="s">
        <v>83</v>
      </c>
      <c r="B35" s="7" t="s">
        <v>110</v>
      </c>
      <c r="C35" s="9">
        <v>0.88900000000000001</v>
      </c>
      <c r="D35" s="15">
        <f t="shared" si="0"/>
        <v>0.79032100000000005</v>
      </c>
    </row>
    <row r="36" spans="1:4" x14ac:dyDescent="0.3">
      <c r="A36" s="7" t="s">
        <v>85</v>
      </c>
      <c r="B36" s="7" t="s">
        <v>48</v>
      </c>
      <c r="C36" s="9">
        <v>0.88600000000000001</v>
      </c>
      <c r="D36" s="15">
        <f t="shared" si="0"/>
        <v>0.78499600000000003</v>
      </c>
    </row>
    <row r="37" spans="1:4" x14ac:dyDescent="0.3">
      <c r="A37" s="7" t="s">
        <v>85</v>
      </c>
      <c r="B37" s="7" t="s">
        <v>111</v>
      </c>
      <c r="C37" s="9">
        <v>0.89400000000000002</v>
      </c>
      <c r="D37" s="15">
        <f t="shared" ref="D37:D68" si="5">C37^2</f>
        <v>0.79923600000000006</v>
      </c>
    </row>
    <row r="38" spans="1:4" x14ac:dyDescent="0.3">
      <c r="A38" s="7" t="s">
        <v>85</v>
      </c>
      <c r="B38" s="7" t="s">
        <v>112</v>
      </c>
      <c r="C38" s="9">
        <v>0.86399999999999999</v>
      </c>
      <c r="D38" s="15">
        <f t="shared" si="5"/>
        <v>0.74649599999999994</v>
      </c>
    </row>
    <row r="39" spans="1:4" x14ac:dyDescent="0.3">
      <c r="A39" s="7" t="s">
        <v>85</v>
      </c>
      <c r="B39" s="7" t="s">
        <v>113</v>
      </c>
      <c r="C39" s="9">
        <v>0.88600000000000001</v>
      </c>
      <c r="D39" s="15">
        <f t="shared" si="5"/>
        <v>0.78499600000000003</v>
      </c>
    </row>
    <row r="40" spans="1:4" x14ac:dyDescent="0.3">
      <c r="A40" s="7" t="s">
        <v>87</v>
      </c>
      <c r="B40" s="7" t="s">
        <v>52</v>
      </c>
      <c r="C40" s="9">
        <v>0.90500000000000003</v>
      </c>
      <c r="D40" s="15">
        <f t="shared" si="5"/>
        <v>0.819025</v>
      </c>
    </row>
    <row r="41" spans="1:4" x14ac:dyDescent="0.3">
      <c r="A41" s="7" t="s">
        <v>87</v>
      </c>
      <c r="B41" s="7" t="s">
        <v>114</v>
      </c>
      <c r="C41" s="9">
        <v>0.89200000000000002</v>
      </c>
      <c r="D41" s="15">
        <f t="shared" si="5"/>
        <v>0.79566400000000004</v>
      </c>
    </row>
    <row r="42" spans="1:4" x14ac:dyDescent="0.3">
      <c r="A42" s="7" t="s">
        <v>87</v>
      </c>
      <c r="B42" s="7" t="s">
        <v>115</v>
      </c>
      <c r="C42" s="9">
        <v>0.88600000000000001</v>
      </c>
      <c r="D42" s="15">
        <f t="shared" si="5"/>
        <v>0.78499600000000003</v>
      </c>
    </row>
    <row r="43" spans="1:4" x14ac:dyDescent="0.3">
      <c r="A43" s="7" t="s">
        <v>87</v>
      </c>
      <c r="B43" s="7" t="s">
        <v>116</v>
      </c>
      <c r="C43" s="9">
        <v>0.878</v>
      </c>
      <c r="D43" s="15">
        <f t="shared" si="5"/>
        <v>0.77088400000000001</v>
      </c>
    </row>
    <row r="44" spans="1:4" x14ac:dyDescent="0.3">
      <c r="A44" s="7" t="s">
        <v>89</v>
      </c>
      <c r="B44" s="7" t="s">
        <v>117</v>
      </c>
      <c r="C44" s="9">
        <v>0.88200000000000001</v>
      </c>
      <c r="D44" s="15">
        <f t="shared" si="5"/>
        <v>0.77792400000000006</v>
      </c>
    </row>
    <row r="45" spans="1:4" x14ac:dyDescent="0.3">
      <c r="A45" s="7" t="s">
        <v>89</v>
      </c>
      <c r="B45" s="7" t="s">
        <v>118</v>
      </c>
      <c r="C45" s="9">
        <v>0.88700000000000001</v>
      </c>
      <c r="D45" s="15">
        <f t="shared" si="5"/>
        <v>0.78676900000000005</v>
      </c>
    </row>
    <row r="46" spans="1:4" x14ac:dyDescent="0.3">
      <c r="A46" s="7" t="s">
        <v>89</v>
      </c>
      <c r="B46" s="7" t="s">
        <v>119</v>
      </c>
      <c r="C46" s="9">
        <v>0.79900000000000004</v>
      </c>
      <c r="D46" s="15">
        <f t="shared" si="5"/>
        <v>0.63840100000000011</v>
      </c>
    </row>
    <row r="47" spans="1:4" x14ac:dyDescent="0.3">
      <c r="A47" s="7" t="s">
        <v>91</v>
      </c>
      <c r="B47" s="7" t="s">
        <v>120</v>
      </c>
      <c r="C47" s="9">
        <v>0.90400000000000003</v>
      </c>
      <c r="D47" s="15">
        <f t="shared" si="5"/>
        <v>0.81721600000000005</v>
      </c>
    </row>
    <row r="48" spans="1:4" x14ac:dyDescent="0.3">
      <c r="A48" s="7" t="s">
        <v>91</v>
      </c>
      <c r="B48" s="7" t="s">
        <v>121</v>
      </c>
      <c r="C48" s="9">
        <v>0.90200000000000002</v>
      </c>
      <c r="D48" s="15">
        <f t="shared" si="5"/>
        <v>0.81360399999999999</v>
      </c>
    </row>
    <row r="49" spans="1:4" x14ac:dyDescent="0.3">
      <c r="A49" s="7" t="s">
        <v>91</v>
      </c>
      <c r="B49" s="7" t="s">
        <v>122</v>
      </c>
      <c r="C49" s="9">
        <v>0.88600000000000001</v>
      </c>
      <c r="D49" s="15">
        <f t="shared" si="5"/>
        <v>0.78499600000000003</v>
      </c>
    </row>
    <row r="50" spans="1:4" x14ac:dyDescent="0.3">
      <c r="A50" s="7" t="s">
        <v>93</v>
      </c>
      <c r="B50" s="7" t="s">
        <v>123</v>
      </c>
      <c r="C50" s="9">
        <v>0.86299999999999999</v>
      </c>
      <c r="D50" s="15">
        <f t="shared" si="5"/>
        <v>0.74476900000000001</v>
      </c>
    </row>
    <row r="51" spans="1:4" x14ac:dyDescent="0.3">
      <c r="A51" s="7" t="s">
        <v>93</v>
      </c>
      <c r="B51" s="7" t="s">
        <v>124</v>
      </c>
      <c r="C51" s="9">
        <v>0.91600000000000004</v>
      </c>
      <c r="D51" s="15">
        <f t="shared" si="5"/>
        <v>0.83905600000000002</v>
      </c>
    </row>
    <row r="52" spans="1:4" x14ac:dyDescent="0.3">
      <c r="A52" s="7" t="s">
        <v>93</v>
      </c>
      <c r="B52" s="7" t="s">
        <v>125</v>
      </c>
      <c r="C52" s="9">
        <v>0.91600000000000004</v>
      </c>
      <c r="D52" s="15">
        <f t="shared" si="5"/>
        <v>0.83905600000000002</v>
      </c>
    </row>
    <row r="53" spans="1:4" x14ac:dyDescent="0.3">
      <c r="A53" s="7" t="s">
        <v>94</v>
      </c>
      <c r="B53" s="7" t="s">
        <v>126</v>
      </c>
      <c r="C53" s="9">
        <v>0.878</v>
      </c>
      <c r="D53" s="15">
        <f t="shared" si="5"/>
        <v>0.77088400000000001</v>
      </c>
    </row>
    <row r="54" spans="1:4" x14ac:dyDescent="0.3">
      <c r="A54" s="7" t="s">
        <v>94</v>
      </c>
      <c r="B54" s="7" t="s">
        <v>127</v>
      </c>
      <c r="C54" s="9">
        <v>0.87</v>
      </c>
      <c r="D54" s="15">
        <f t="shared" si="5"/>
        <v>0.75690000000000002</v>
      </c>
    </row>
    <row r="55" spans="1:4" x14ac:dyDescent="0.3">
      <c r="A55" s="7" t="s">
        <v>94</v>
      </c>
      <c r="B55" s="7" t="s">
        <v>54</v>
      </c>
      <c r="C55" s="9">
        <v>0.873</v>
      </c>
      <c r="D55" s="15">
        <f t="shared" si="5"/>
        <v>0.76212899999999995</v>
      </c>
    </row>
    <row r="56" spans="1:4" x14ac:dyDescent="0.3">
      <c r="A56" s="7" t="s">
        <v>96</v>
      </c>
      <c r="B56" s="7" t="s">
        <v>128</v>
      </c>
      <c r="C56" s="9">
        <v>0.59499999999999997</v>
      </c>
      <c r="D56" s="15">
        <f t="shared" si="5"/>
        <v>0.35402499999999998</v>
      </c>
    </row>
    <row r="57" spans="1:4" x14ac:dyDescent="0.3">
      <c r="A57" s="7" t="s">
        <v>96</v>
      </c>
      <c r="B57" s="7" t="s">
        <v>129</v>
      </c>
      <c r="C57" s="9">
        <v>0.76100000000000001</v>
      </c>
      <c r="D57" s="15">
        <f t="shared" si="5"/>
        <v>0.579121</v>
      </c>
    </row>
    <row r="58" spans="1:4" x14ac:dyDescent="0.3">
      <c r="A58" s="7" t="s">
        <v>96</v>
      </c>
      <c r="B58" s="7" t="s">
        <v>130</v>
      </c>
      <c r="C58" s="9">
        <v>0.74099999999999999</v>
      </c>
      <c r="D58" s="15">
        <f t="shared" si="5"/>
        <v>0.54908100000000004</v>
      </c>
    </row>
    <row r="59" spans="1:4" x14ac:dyDescent="0.3">
      <c r="A59" s="7" t="s">
        <v>96</v>
      </c>
      <c r="B59" s="7" t="s">
        <v>131</v>
      </c>
      <c r="C59" s="9">
        <v>0.8</v>
      </c>
      <c r="D59" s="15">
        <f t="shared" si="5"/>
        <v>0.64000000000000012</v>
      </c>
    </row>
    <row r="60" spans="1:4" x14ac:dyDescent="0.3">
      <c r="A60" s="7" t="s">
        <v>96</v>
      </c>
      <c r="B60" s="7" t="s">
        <v>132</v>
      </c>
      <c r="C60" s="9">
        <v>0.59099999999999997</v>
      </c>
      <c r="D60" s="15">
        <f t="shared" si="5"/>
        <v>0.34928099999999995</v>
      </c>
    </row>
  </sheetData>
  <conditionalFormatting sqref="C5:C60">
    <cfRule type="cellIs" dxfId="9" priority="1" operator="lessThan">
      <formula>0.708</formula>
    </cfRule>
  </conditionalFormatting>
  <conditionalFormatting sqref="J5:J18">
    <cfRule type="cellIs" dxfId="8" priority="2" operator="equal">
      <formula>"Khớp"</formula>
    </cfRule>
    <cfRule type="cellIs" dxfId="7" priority="3" operator="equal">
      <formula>"Lệch"</formula>
    </cfRule>
  </conditionalFormatting>
  <conditionalFormatting sqref="M5:M18">
    <cfRule type="cellIs" dxfId="6" priority="4" operator="equal">
      <formula>"Khớp"</formula>
    </cfRule>
    <cfRule type="cellIs" dxfId="5" priority="5" operator="equal">
      <formula>"Lệch"</formula>
    </cfRule>
  </conditionalFormatting>
  <conditionalFormatting sqref="N5:N18">
    <cfRule type="cellIs" dxfId="4" priority="6" operator="equal">
      <formula>"Đạt"</formula>
    </cfRule>
    <cfRule type="cellIs" dxfId="3" priority="7" operator="equal">
      <formula>"Không đạt"</formula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3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10" customWidth="1"/>
    <col min="3" max="15" width="6.44140625" customWidth="1"/>
    <col min="16" max="16" width="8" customWidth="1"/>
    <col min="17" max="17" width="10" customWidth="1"/>
    <col min="18" max="18" width="9" customWidth="1"/>
    <col min="19" max="19" width="10" customWidth="1"/>
    <col min="20" max="20" width="11" customWidth="1"/>
  </cols>
  <sheetData>
    <row r="1" spans="1:20" ht="15.6" x14ac:dyDescent="0.3">
      <c r="A1" s="1" t="s">
        <v>133</v>
      </c>
    </row>
    <row r="2" spans="1:20" x14ac:dyDescent="0.3">
      <c r="A2" s="5" t="s">
        <v>134</v>
      </c>
    </row>
    <row r="4" spans="1:20" ht="30" customHeight="1" x14ac:dyDescent="0.3">
      <c r="A4" s="6" t="s">
        <v>60</v>
      </c>
      <c r="B4" s="6" t="s">
        <v>135</v>
      </c>
      <c r="C4" s="6" t="s">
        <v>72</v>
      </c>
      <c r="D4" s="6" t="s">
        <v>75</v>
      </c>
      <c r="E4" s="6" t="s">
        <v>73</v>
      </c>
      <c r="F4" s="6" t="s">
        <v>85</v>
      </c>
      <c r="G4" s="6" t="s">
        <v>91</v>
      </c>
      <c r="H4" s="6" t="s">
        <v>77</v>
      </c>
      <c r="I4" s="6" t="s">
        <v>94</v>
      </c>
      <c r="J4" s="6" t="s">
        <v>89</v>
      </c>
      <c r="K4" s="6" t="s">
        <v>87</v>
      </c>
      <c r="L4" s="6" t="s">
        <v>83</v>
      </c>
      <c r="M4" s="6" t="s">
        <v>81</v>
      </c>
      <c r="N4" s="6" t="s">
        <v>93</v>
      </c>
      <c r="O4" s="6" t="s">
        <v>79</v>
      </c>
      <c r="P4" s="6" t="s">
        <v>136</v>
      </c>
      <c r="Q4" s="6" t="s">
        <v>137</v>
      </c>
      <c r="R4" s="6" t="s">
        <v>138</v>
      </c>
      <c r="S4" s="6" t="s">
        <v>23</v>
      </c>
      <c r="T4" s="6" t="s">
        <v>24</v>
      </c>
    </row>
    <row r="5" spans="1:20" x14ac:dyDescent="0.3">
      <c r="A5" s="14" t="s">
        <v>72</v>
      </c>
      <c r="B5" s="7" t="s">
        <v>139</v>
      </c>
      <c r="C5" s="17"/>
      <c r="D5" s="15">
        <f>C6</f>
        <v>0.65500000000000003</v>
      </c>
      <c r="E5" s="15">
        <f>C7</f>
        <v>0.76800000000000002</v>
      </c>
      <c r="F5" s="15">
        <f>C8</f>
        <v>0.68400000000000005</v>
      </c>
      <c r="G5" s="15">
        <f>C9</f>
        <v>0.56599999999999995</v>
      </c>
      <c r="H5" s="15">
        <f>C10</f>
        <v>0.72</v>
      </c>
      <c r="I5" s="15">
        <f>C11</f>
        <v>0.51400000000000001</v>
      </c>
      <c r="J5" s="15">
        <f>C12</f>
        <v>0.59599999999999997</v>
      </c>
      <c r="K5" s="15">
        <f>C13</f>
        <v>0.60399999999999998</v>
      </c>
      <c r="L5" s="15">
        <f>C14</f>
        <v>0.64</v>
      </c>
      <c r="M5" s="15">
        <f>C15</f>
        <v>0.74299999999999999</v>
      </c>
      <c r="N5" s="15">
        <f>C16</f>
        <v>0.57999999999999996</v>
      </c>
      <c r="O5" s="15">
        <f>C17</f>
        <v>0.747</v>
      </c>
      <c r="P5" s="9">
        <v>0.77</v>
      </c>
      <c r="Q5" s="15">
        <f t="shared" ref="Q5:Q17" si="0">MAX(C5:O5)</f>
        <v>0.76800000000000002</v>
      </c>
      <c r="R5" s="7" t="str">
        <f t="shared" ref="R5:R17" si="1">INDEX($C$4:$O$4,MATCH(Q5,C5:O5,0))</f>
        <v>CO</v>
      </c>
      <c r="S5" s="18">
        <f t="shared" ref="S5:S17" si="2">P5-Q5</f>
        <v>2.0000000000000018E-3</v>
      </c>
      <c r="T5" s="14" t="str">
        <f t="shared" ref="T5:T17" si="3">IF(S5&gt;0,"Đạt","KHÔNG ĐẠT")</f>
        <v>Đạt</v>
      </c>
    </row>
    <row r="6" spans="1:20" x14ac:dyDescent="0.3">
      <c r="A6" s="14" t="s">
        <v>75</v>
      </c>
      <c r="B6" s="7" t="s">
        <v>139</v>
      </c>
      <c r="C6" s="9">
        <v>0.65500000000000003</v>
      </c>
      <c r="D6" s="17"/>
      <c r="E6" s="15">
        <f>D7</f>
        <v>0.76300000000000001</v>
      </c>
      <c r="F6" s="15">
        <f>D8</f>
        <v>0.58599999999999997</v>
      </c>
      <c r="G6" s="15">
        <f>D9</f>
        <v>0.68</v>
      </c>
      <c r="H6" s="15">
        <f>D10</f>
        <v>0.81399999999999995</v>
      </c>
      <c r="I6" s="15">
        <f>D11</f>
        <v>0.53300000000000003</v>
      </c>
      <c r="J6" s="15">
        <f>D12</f>
        <v>0.72</v>
      </c>
      <c r="K6" s="15">
        <f>D13</f>
        <v>0.52500000000000002</v>
      </c>
      <c r="L6" s="15">
        <f>D14</f>
        <v>0.72299999999999998</v>
      </c>
      <c r="M6" s="15">
        <f>D15</f>
        <v>0.72399999999999998</v>
      </c>
      <c r="N6" s="15">
        <f>D16</f>
        <v>0.56899999999999995</v>
      </c>
      <c r="O6" s="15">
        <f>D17</f>
        <v>0.73399999999999999</v>
      </c>
      <c r="P6" s="9">
        <v>0.85699999999999998</v>
      </c>
      <c r="Q6" s="15">
        <f t="shared" si="0"/>
        <v>0.81399999999999995</v>
      </c>
      <c r="R6" s="7" t="str">
        <f t="shared" si="1"/>
        <v>FD</v>
      </c>
      <c r="S6" s="18">
        <f t="shared" si="2"/>
        <v>4.3000000000000038E-2</v>
      </c>
      <c r="T6" s="14" t="str">
        <f t="shared" si="3"/>
        <v>Đạt</v>
      </c>
    </row>
    <row r="7" spans="1:20" x14ac:dyDescent="0.3">
      <c r="A7" s="14" t="s">
        <v>73</v>
      </c>
      <c r="B7" s="7" t="s">
        <v>139</v>
      </c>
      <c r="C7" s="9">
        <v>0.76800000000000002</v>
      </c>
      <c r="D7" s="9">
        <v>0.76300000000000001</v>
      </c>
      <c r="E7" s="17"/>
      <c r="F7" s="15">
        <f>E8</f>
        <v>0.67700000000000005</v>
      </c>
      <c r="G7" s="15">
        <f>E9</f>
        <v>0.627</v>
      </c>
      <c r="H7" s="15">
        <f>E10</f>
        <v>0.77500000000000002</v>
      </c>
      <c r="I7" s="15">
        <f>E11</f>
        <v>0.56699999999999995</v>
      </c>
      <c r="J7" s="15">
        <f>E12</f>
        <v>0.66500000000000004</v>
      </c>
      <c r="K7" s="15">
        <f>E13</f>
        <v>0.63500000000000001</v>
      </c>
      <c r="L7" s="15">
        <f>E14</f>
        <v>0.78700000000000003</v>
      </c>
      <c r="M7" s="15">
        <f>E15</f>
        <v>0.78100000000000003</v>
      </c>
      <c r="N7" s="15">
        <f>E16</f>
        <v>0.59299999999999997</v>
      </c>
      <c r="O7" s="15">
        <f>E17</f>
        <v>0.78300000000000003</v>
      </c>
      <c r="P7" s="9">
        <v>0.874</v>
      </c>
      <c r="Q7" s="15">
        <f t="shared" si="0"/>
        <v>0.78700000000000003</v>
      </c>
      <c r="R7" s="7" t="str">
        <f t="shared" si="1"/>
        <v>MR</v>
      </c>
      <c r="S7" s="18">
        <f t="shared" si="2"/>
        <v>8.6999999999999966E-2</v>
      </c>
      <c r="T7" s="14" t="str">
        <f t="shared" si="3"/>
        <v>Đạt</v>
      </c>
    </row>
    <row r="8" spans="1:20" x14ac:dyDescent="0.3">
      <c r="A8" s="14" t="s">
        <v>85</v>
      </c>
      <c r="B8" s="7" t="s">
        <v>140</v>
      </c>
      <c r="C8" s="9">
        <v>0.68400000000000005</v>
      </c>
      <c r="D8" s="9">
        <v>0.58599999999999997</v>
      </c>
      <c r="E8" s="9">
        <v>0.67700000000000005</v>
      </c>
      <c r="F8" s="17"/>
      <c r="G8" s="15">
        <f>F9</f>
        <v>0.74</v>
      </c>
      <c r="H8" s="15">
        <f>F10</f>
        <v>0.69199999999999995</v>
      </c>
      <c r="I8" s="15">
        <f>F11</f>
        <v>0.79500000000000004</v>
      </c>
      <c r="J8" s="15">
        <f>F12</f>
        <v>0.76800000000000002</v>
      </c>
      <c r="K8" s="15">
        <f>F13</f>
        <v>0.871</v>
      </c>
      <c r="L8" s="15">
        <f>F14</f>
        <v>0.79400000000000004</v>
      </c>
      <c r="M8" s="15">
        <f>F15</f>
        <v>0.78</v>
      </c>
      <c r="N8" s="15">
        <f>F16</f>
        <v>0.84599999999999997</v>
      </c>
      <c r="O8" s="15">
        <f>F17</f>
        <v>0.66400000000000003</v>
      </c>
      <c r="P8" s="9">
        <v>0.88300000000000001</v>
      </c>
      <c r="Q8" s="15">
        <f t="shared" si="0"/>
        <v>0.871</v>
      </c>
      <c r="R8" s="7" t="str">
        <f t="shared" si="1"/>
        <v>PO</v>
      </c>
      <c r="S8" s="18">
        <f t="shared" si="2"/>
        <v>1.2000000000000011E-2</v>
      </c>
      <c r="T8" s="14" t="str">
        <f t="shared" si="3"/>
        <v>Đạt</v>
      </c>
    </row>
    <row r="9" spans="1:20" x14ac:dyDescent="0.3">
      <c r="A9" s="14" t="s">
        <v>91</v>
      </c>
      <c r="B9" s="7" t="s">
        <v>140</v>
      </c>
      <c r="C9" s="9">
        <v>0.56599999999999995</v>
      </c>
      <c r="D9" s="9">
        <v>0.68</v>
      </c>
      <c r="E9" s="9">
        <v>0.627</v>
      </c>
      <c r="F9" s="9">
        <v>0.74</v>
      </c>
      <c r="G9" s="17"/>
      <c r="H9" s="15">
        <f>G10</f>
        <v>0.755</v>
      </c>
      <c r="I9" s="15">
        <f>G11</f>
        <v>0.69199999999999995</v>
      </c>
      <c r="J9" s="15">
        <f>G12</f>
        <v>0.73899999999999999</v>
      </c>
      <c r="K9" s="15">
        <f>G13</f>
        <v>0.71399999999999997</v>
      </c>
      <c r="L9" s="15">
        <f>G14</f>
        <v>0.71899999999999997</v>
      </c>
      <c r="M9" s="15">
        <f>G15</f>
        <v>0.7</v>
      </c>
      <c r="N9" s="15">
        <f>G16</f>
        <v>0.749</v>
      </c>
      <c r="O9" s="15">
        <f>G17</f>
        <v>0.61399999999999999</v>
      </c>
      <c r="P9" s="9">
        <v>0.89700000000000002</v>
      </c>
      <c r="Q9" s="15">
        <f t="shared" si="0"/>
        <v>0.755</v>
      </c>
      <c r="R9" s="7" t="str">
        <f t="shared" si="1"/>
        <v>FD</v>
      </c>
      <c r="S9" s="18">
        <f t="shared" si="2"/>
        <v>0.14200000000000002</v>
      </c>
      <c r="T9" s="14" t="str">
        <f t="shared" si="3"/>
        <v>Đạt</v>
      </c>
    </row>
    <row r="10" spans="1:20" x14ac:dyDescent="0.3">
      <c r="A10" s="14" t="s">
        <v>77</v>
      </c>
      <c r="B10" s="7" t="s">
        <v>139</v>
      </c>
      <c r="C10" s="9">
        <v>0.72</v>
      </c>
      <c r="D10" s="9">
        <v>0.81399999999999995</v>
      </c>
      <c r="E10" s="9">
        <v>0.77500000000000002</v>
      </c>
      <c r="F10" s="9">
        <v>0.69199999999999995</v>
      </c>
      <c r="G10" s="9">
        <v>0.755</v>
      </c>
      <c r="H10" s="17"/>
      <c r="I10" s="15">
        <f>H11</f>
        <v>0.6</v>
      </c>
      <c r="J10" s="15">
        <f>H12</f>
        <v>0.74299999999999999</v>
      </c>
      <c r="K10" s="15">
        <f>H13</f>
        <v>0.63800000000000001</v>
      </c>
      <c r="L10" s="15">
        <f>H14</f>
        <v>0.78</v>
      </c>
      <c r="M10" s="15">
        <f>H15</f>
        <v>0.77</v>
      </c>
      <c r="N10" s="15">
        <f>H16</f>
        <v>0.71</v>
      </c>
      <c r="O10" s="15">
        <f>H17</f>
        <v>0.81899999999999995</v>
      </c>
      <c r="P10" s="9">
        <v>0.876</v>
      </c>
      <c r="Q10" s="15">
        <f t="shared" si="0"/>
        <v>0.81899999999999995</v>
      </c>
      <c r="R10" s="7" t="str">
        <f t="shared" si="1"/>
        <v>TC</v>
      </c>
      <c r="S10" s="18">
        <f t="shared" si="2"/>
        <v>5.7000000000000051E-2</v>
      </c>
      <c r="T10" s="14" t="str">
        <f t="shared" si="3"/>
        <v>Đạt</v>
      </c>
    </row>
    <row r="11" spans="1:20" x14ac:dyDescent="0.3">
      <c r="A11" s="14" t="s">
        <v>94</v>
      </c>
      <c r="B11" s="7" t="s">
        <v>140</v>
      </c>
      <c r="C11" s="9">
        <v>0.51400000000000001</v>
      </c>
      <c r="D11" s="9">
        <v>0.53300000000000003</v>
      </c>
      <c r="E11" s="9">
        <v>0.56699999999999995</v>
      </c>
      <c r="F11" s="9">
        <v>0.79500000000000004</v>
      </c>
      <c r="G11" s="9">
        <v>0.69199999999999995</v>
      </c>
      <c r="H11" s="9">
        <v>0.6</v>
      </c>
      <c r="I11" s="17"/>
      <c r="J11" s="15">
        <f>I12</f>
        <v>0.71799999999999997</v>
      </c>
      <c r="K11" s="15">
        <f>I13</f>
        <v>0.80200000000000005</v>
      </c>
      <c r="L11" s="15">
        <f>I14</f>
        <v>0.76200000000000001</v>
      </c>
      <c r="M11" s="15">
        <f>I15</f>
        <v>0.70099999999999996</v>
      </c>
      <c r="N11" s="15">
        <f>I16</f>
        <v>0.80400000000000005</v>
      </c>
      <c r="O11" s="15">
        <f>I17</f>
        <v>0.64100000000000001</v>
      </c>
      <c r="P11" s="9">
        <v>0.873</v>
      </c>
      <c r="Q11" s="15">
        <f t="shared" si="0"/>
        <v>0.80400000000000005</v>
      </c>
      <c r="R11" s="7" t="str">
        <f t="shared" si="1"/>
        <v>SE</v>
      </c>
      <c r="S11" s="18">
        <f t="shared" si="2"/>
        <v>6.899999999999995E-2</v>
      </c>
      <c r="T11" s="14" t="str">
        <f t="shared" si="3"/>
        <v>Đạt</v>
      </c>
    </row>
    <row r="12" spans="1:20" x14ac:dyDescent="0.3">
      <c r="A12" s="14" t="s">
        <v>89</v>
      </c>
      <c r="B12" s="7" t="s">
        <v>140</v>
      </c>
      <c r="C12" s="9">
        <v>0.59599999999999997</v>
      </c>
      <c r="D12" s="9">
        <v>0.72</v>
      </c>
      <c r="E12" s="9">
        <v>0.66500000000000004</v>
      </c>
      <c r="F12" s="9">
        <v>0.76800000000000002</v>
      </c>
      <c r="G12" s="9">
        <v>0.73899999999999999</v>
      </c>
      <c r="H12" s="9">
        <v>0.74299999999999999</v>
      </c>
      <c r="I12" s="9">
        <v>0.71799999999999997</v>
      </c>
      <c r="J12" s="17"/>
      <c r="K12" s="15">
        <f>J13</f>
        <v>0.77700000000000002</v>
      </c>
      <c r="L12" s="15">
        <f>J14</f>
        <v>0.77</v>
      </c>
      <c r="M12" s="15">
        <f>J15</f>
        <v>0.745</v>
      </c>
      <c r="N12" s="15">
        <f>J16</f>
        <v>0.78200000000000003</v>
      </c>
      <c r="O12" s="15">
        <f>J17</f>
        <v>0.71</v>
      </c>
      <c r="P12" s="9">
        <v>0.85699999999999998</v>
      </c>
      <c r="Q12" s="15">
        <f t="shared" si="0"/>
        <v>0.78200000000000003</v>
      </c>
      <c r="R12" s="7" t="str">
        <f t="shared" si="1"/>
        <v>SE</v>
      </c>
      <c r="S12" s="18">
        <f t="shared" si="2"/>
        <v>7.4999999999999956E-2</v>
      </c>
      <c r="T12" s="14" t="str">
        <f t="shared" si="3"/>
        <v>Đạt</v>
      </c>
    </row>
    <row r="13" spans="1:20" x14ac:dyDescent="0.3">
      <c r="A13" s="14" t="s">
        <v>87</v>
      </c>
      <c r="B13" s="7" t="s">
        <v>140</v>
      </c>
      <c r="C13" s="9">
        <v>0.60399999999999998</v>
      </c>
      <c r="D13" s="9">
        <v>0.52500000000000002</v>
      </c>
      <c r="E13" s="9">
        <v>0.63500000000000001</v>
      </c>
      <c r="F13" s="9">
        <v>0.871</v>
      </c>
      <c r="G13" s="9">
        <v>0.71399999999999997</v>
      </c>
      <c r="H13" s="9">
        <v>0.63800000000000001</v>
      </c>
      <c r="I13" s="9">
        <v>0.80200000000000005</v>
      </c>
      <c r="J13" s="9">
        <v>0.77700000000000002</v>
      </c>
      <c r="K13" s="17"/>
      <c r="L13" s="15">
        <f>K14</f>
        <v>0.76800000000000002</v>
      </c>
      <c r="M13" s="15">
        <f>K15</f>
        <v>0.755</v>
      </c>
      <c r="N13" s="15">
        <f>K16</f>
        <v>0.80300000000000005</v>
      </c>
      <c r="O13" s="15">
        <f>K17</f>
        <v>0.67600000000000005</v>
      </c>
      <c r="P13" s="9">
        <v>0.89</v>
      </c>
      <c r="Q13" s="15">
        <f t="shared" si="0"/>
        <v>0.871</v>
      </c>
      <c r="R13" s="7" t="str">
        <f t="shared" si="1"/>
        <v>EC</v>
      </c>
      <c r="S13" s="18">
        <f t="shared" si="2"/>
        <v>1.9000000000000017E-2</v>
      </c>
      <c r="T13" s="14" t="str">
        <f t="shared" si="3"/>
        <v>Đạt</v>
      </c>
    </row>
    <row r="14" spans="1:20" x14ac:dyDescent="0.3">
      <c r="A14" s="14" t="s">
        <v>83</v>
      </c>
      <c r="B14" s="7" t="s">
        <v>139</v>
      </c>
      <c r="C14" s="9">
        <v>0.64</v>
      </c>
      <c r="D14" s="9">
        <v>0.72299999999999998</v>
      </c>
      <c r="E14" s="9">
        <v>0.78700000000000003</v>
      </c>
      <c r="F14" s="9">
        <v>0.79400000000000004</v>
      </c>
      <c r="G14" s="9">
        <v>0.71899999999999997</v>
      </c>
      <c r="H14" s="9">
        <v>0.78</v>
      </c>
      <c r="I14" s="9">
        <v>0.76200000000000001</v>
      </c>
      <c r="J14" s="9">
        <v>0.77</v>
      </c>
      <c r="K14" s="9">
        <v>0.76800000000000002</v>
      </c>
      <c r="L14" s="17"/>
      <c r="M14" s="15">
        <f>L15</f>
        <v>0.84499999999999997</v>
      </c>
      <c r="N14" s="15">
        <f>L16</f>
        <v>0.76600000000000001</v>
      </c>
      <c r="O14" s="15">
        <f>L17</f>
        <v>0.77600000000000002</v>
      </c>
      <c r="P14" s="9">
        <v>0.89900000000000002</v>
      </c>
      <c r="Q14" s="15">
        <f t="shared" si="0"/>
        <v>0.84499999999999997</v>
      </c>
      <c r="R14" s="7" t="str">
        <f t="shared" si="1"/>
        <v>RM</v>
      </c>
      <c r="S14" s="18">
        <f t="shared" si="2"/>
        <v>5.4000000000000048E-2</v>
      </c>
      <c r="T14" s="14" t="str">
        <f t="shared" si="3"/>
        <v>Đạt</v>
      </c>
    </row>
    <row r="15" spans="1:20" x14ac:dyDescent="0.3">
      <c r="A15" s="14" t="s">
        <v>81</v>
      </c>
      <c r="B15" s="7" t="s">
        <v>139</v>
      </c>
      <c r="C15" s="9">
        <v>0.74299999999999999</v>
      </c>
      <c r="D15" s="9">
        <v>0.72399999999999998</v>
      </c>
      <c r="E15" s="9">
        <v>0.78100000000000003</v>
      </c>
      <c r="F15" s="9">
        <v>0.78</v>
      </c>
      <c r="G15" s="9">
        <v>0.7</v>
      </c>
      <c r="H15" s="9">
        <v>0.77</v>
      </c>
      <c r="I15" s="9">
        <v>0.70099999999999996</v>
      </c>
      <c r="J15" s="9">
        <v>0.745</v>
      </c>
      <c r="K15" s="9">
        <v>0.755</v>
      </c>
      <c r="L15" s="9">
        <v>0.84499999999999997</v>
      </c>
      <c r="M15" s="17"/>
      <c r="N15" s="15">
        <f>M16</f>
        <v>0.73799999999999999</v>
      </c>
      <c r="O15" s="15">
        <f>M17</f>
        <v>0.8</v>
      </c>
      <c r="P15" s="9">
        <v>0.83299999999999996</v>
      </c>
      <c r="Q15" s="15">
        <f t="shared" si="0"/>
        <v>0.84499999999999997</v>
      </c>
      <c r="R15" s="7" t="str">
        <f t="shared" si="1"/>
        <v>MR</v>
      </c>
      <c r="S15" s="18">
        <f t="shared" si="2"/>
        <v>-1.2000000000000011E-2</v>
      </c>
      <c r="T15" s="14" t="str">
        <f t="shared" si="3"/>
        <v>KHÔNG ĐẠT</v>
      </c>
    </row>
    <row r="16" spans="1:20" x14ac:dyDescent="0.3">
      <c r="A16" s="14" t="s">
        <v>93</v>
      </c>
      <c r="B16" s="7" t="s">
        <v>140</v>
      </c>
      <c r="C16" s="9">
        <v>0.57999999999999996</v>
      </c>
      <c r="D16" s="9">
        <v>0.56899999999999995</v>
      </c>
      <c r="E16" s="9">
        <v>0.59299999999999997</v>
      </c>
      <c r="F16" s="9">
        <v>0.84599999999999997</v>
      </c>
      <c r="G16" s="9">
        <v>0.749</v>
      </c>
      <c r="H16" s="9">
        <v>0.71</v>
      </c>
      <c r="I16" s="9">
        <v>0.80400000000000005</v>
      </c>
      <c r="J16" s="9">
        <v>0.78200000000000003</v>
      </c>
      <c r="K16" s="9">
        <v>0.80300000000000005</v>
      </c>
      <c r="L16" s="9">
        <v>0.76600000000000001</v>
      </c>
      <c r="M16" s="9">
        <v>0.73799999999999999</v>
      </c>
      <c r="N16" s="17"/>
      <c r="O16" s="15">
        <f>N17</f>
        <v>0.65</v>
      </c>
      <c r="P16" s="9">
        <v>0.89900000000000002</v>
      </c>
      <c r="Q16" s="15">
        <f t="shared" si="0"/>
        <v>0.84599999999999997</v>
      </c>
      <c r="R16" s="7" t="str">
        <f t="shared" si="1"/>
        <v>EC</v>
      </c>
      <c r="S16" s="18">
        <f t="shared" si="2"/>
        <v>5.3000000000000047E-2</v>
      </c>
      <c r="T16" s="14" t="str">
        <f t="shared" si="3"/>
        <v>Đạt</v>
      </c>
    </row>
    <row r="17" spans="1:20" x14ac:dyDescent="0.3">
      <c r="A17" s="14" t="s">
        <v>79</v>
      </c>
      <c r="B17" s="7" t="s">
        <v>139</v>
      </c>
      <c r="C17" s="9">
        <v>0.747</v>
      </c>
      <c r="D17" s="9">
        <v>0.73399999999999999</v>
      </c>
      <c r="E17" s="9">
        <v>0.78300000000000003</v>
      </c>
      <c r="F17" s="9">
        <v>0.66400000000000003</v>
      </c>
      <c r="G17" s="9">
        <v>0.61399999999999999</v>
      </c>
      <c r="H17" s="9">
        <v>0.81899999999999995</v>
      </c>
      <c r="I17" s="9">
        <v>0.64100000000000001</v>
      </c>
      <c r="J17" s="9">
        <v>0.71</v>
      </c>
      <c r="K17" s="9">
        <v>0.67600000000000005</v>
      </c>
      <c r="L17" s="9">
        <v>0.77600000000000002</v>
      </c>
      <c r="M17" s="9">
        <v>0.8</v>
      </c>
      <c r="N17" s="9">
        <v>0.65</v>
      </c>
      <c r="O17" s="17"/>
      <c r="P17" s="9">
        <v>0.83899999999999997</v>
      </c>
      <c r="Q17" s="15">
        <f t="shared" si="0"/>
        <v>0.81899999999999995</v>
      </c>
      <c r="R17" s="7" t="str">
        <f t="shared" si="1"/>
        <v>FD</v>
      </c>
      <c r="S17" s="18">
        <f t="shared" si="2"/>
        <v>2.0000000000000018E-2</v>
      </c>
      <c r="T17" s="14" t="str">
        <f t="shared" si="3"/>
        <v>Đạt</v>
      </c>
    </row>
    <row r="18" spans="1:20" x14ac:dyDescent="0.3">
      <c r="A18" s="14" t="s">
        <v>136</v>
      </c>
      <c r="C18" s="15">
        <f>P5</f>
        <v>0.77</v>
      </c>
      <c r="D18" s="15">
        <f>P6</f>
        <v>0.85699999999999998</v>
      </c>
      <c r="E18" s="15">
        <f>P7</f>
        <v>0.874</v>
      </c>
      <c r="F18" s="15">
        <f>P8</f>
        <v>0.88300000000000001</v>
      </c>
      <c r="G18" s="15">
        <f>P9</f>
        <v>0.89700000000000002</v>
      </c>
      <c r="H18" s="15">
        <f>P10</f>
        <v>0.876</v>
      </c>
      <c r="I18" s="15">
        <f>P11</f>
        <v>0.873</v>
      </c>
      <c r="J18" s="15">
        <f>P12</f>
        <v>0.85699999999999998</v>
      </c>
      <c r="K18" s="15">
        <f>P13</f>
        <v>0.89</v>
      </c>
      <c r="L18" s="15">
        <f>P14</f>
        <v>0.89900000000000002</v>
      </c>
      <c r="M18" s="15">
        <f>P15</f>
        <v>0.83299999999999996</v>
      </c>
      <c r="N18" s="15">
        <f>P16</f>
        <v>0.89900000000000002</v>
      </c>
      <c r="O18" s="15">
        <f>P17</f>
        <v>0.83899999999999997</v>
      </c>
    </row>
    <row r="19" spans="1:20" x14ac:dyDescent="0.3">
      <c r="A19" s="14" t="s">
        <v>135</v>
      </c>
      <c r="C19" s="7" t="str">
        <f>B5</f>
        <v>Nội bộ</v>
      </c>
      <c r="D19" s="7" t="str">
        <f>B6</f>
        <v>Nội bộ</v>
      </c>
      <c r="E19" s="7" t="str">
        <f>B7</f>
        <v>Nội bộ</v>
      </c>
      <c r="F19" s="7" t="str">
        <f>B8</f>
        <v>Bên ngoài</v>
      </c>
      <c r="G19" s="7" t="str">
        <f>B9</f>
        <v>Bên ngoài</v>
      </c>
      <c r="H19" s="7" t="str">
        <f>B10</f>
        <v>Nội bộ</v>
      </c>
      <c r="I19" s="7" t="str">
        <f>B11</f>
        <v>Bên ngoài</v>
      </c>
      <c r="J19" s="7" t="str">
        <f>B12</f>
        <v>Bên ngoài</v>
      </c>
      <c r="K19" s="7" t="str">
        <f>B13</f>
        <v>Bên ngoài</v>
      </c>
      <c r="L19" s="7" t="str">
        <f>B14</f>
        <v>Nội bộ</v>
      </c>
      <c r="M19" s="7" t="str">
        <f>B15</f>
        <v>Nội bộ</v>
      </c>
      <c r="N19" s="7" t="str">
        <f>B16</f>
        <v>Bên ngoài</v>
      </c>
      <c r="O19" s="7" t="str">
        <f>B17</f>
        <v>Nội bộ</v>
      </c>
    </row>
    <row r="21" spans="1:20" ht="52.8" x14ac:dyDescent="0.3">
      <c r="A21" s="13" t="s">
        <v>141</v>
      </c>
      <c r="D21" s="14">
        <f>COUNTIF(T5:T17,"KHÔNG ĐẠT")</f>
        <v>1</v>
      </c>
    </row>
    <row r="22" spans="1:20" ht="39.6" x14ac:dyDescent="0.3">
      <c r="A22" s="13" t="s">
        <v>142</v>
      </c>
      <c r="D22" s="19">
        <f>AVERAGE(C5:O17)</f>
        <v>0.71229487179487194</v>
      </c>
    </row>
    <row r="23" spans="1:20" ht="26.4" x14ac:dyDescent="0.3">
      <c r="A23" s="13" t="s">
        <v>143</v>
      </c>
      <c r="D23" s="14">
        <f>COUNTIF(C5:O17,"&gt;0.8")/2</f>
        <v>8</v>
      </c>
    </row>
  </sheetData>
  <conditionalFormatting sqref="C5:O17">
    <cfRule type="colorScale" priority="1">
      <colorScale>
        <cfvo type="num" val="0.5"/>
        <cfvo type="num" val="0.9"/>
        <color rgb="FFFFFFFF"/>
        <color rgb="FFF4B183"/>
      </colorScale>
    </cfRule>
    <cfRule type="expression" dxfId="2" priority="2" stopIfTrue="1">
      <formula>AND(C5&lt;&gt;"",C5&gt;MIN($P5,C$18))</formula>
    </cfRule>
  </conditionalFormatting>
  <conditionalFormatting sqref="T5:T17">
    <cfRule type="cellIs" dxfId="1" priority="3" operator="equal">
      <formula>"Đạt"</formula>
    </cfRule>
    <cfRule type="cellIs" dxfId="0" priority="4" operator="equal">
      <formula>"KHÔNG ĐẠT"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8"/>
  <sheetViews>
    <sheetView workbookViewId="0"/>
  </sheetViews>
  <sheetFormatPr defaultRowHeight="14.4" x14ac:dyDescent="0.3"/>
  <cols>
    <col min="1" max="1" width="34" customWidth="1"/>
    <col min="2" max="5" width="11" customWidth="1"/>
    <col min="6" max="6" width="13" customWidth="1"/>
    <col min="7" max="7" width="22" customWidth="1"/>
  </cols>
  <sheetData>
    <row r="1" spans="1:7" ht="15.6" x14ac:dyDescent="0.3">
      <c r="A1" s="1" t="s">
        <v>144</v>
      </c>
    </row>
    <row r="2" spans="1:7" x14ac:dyDescent="0.3">
      <c r="A2" s="5" t="s">
        <v>145</v>
      </c>
    </row>
    <row r="4" spans="1:7" x14ac:dyDescent="0.3">
      <c r="A4" t="s">
        <v>146</v>
      </c>
      <c r="B4" s="12">
        <v>314</v>
      </c>
    </row>
    <row r="6" spans="1:7" ht="30" customHeight="1" x14ac:dyDescent="0.3">
      <c r="A6" s="6" t="s">
        <v>147</v>
      </c>
      <c r="B6" s="6" t="s">
        <v>148</v>
      </c>
      <c r="C6" s="6" t="s">
        <v>149</v>
      </c>
      <c r="D6" s="6" t="s">
        <v>150</v>
      </c>
      <c r="E6" s="6" t="s">
        <v>151</v>
      </c>
      <c r="F6" s="6" t="s">
        <v>152</v>
      </c>
      <c r="G6" s="6" t="s">
        <v>153</v>
      </c>
    </row>
    <row r="7" spans="1:7" x14ac:dyDescent="0.3">
      <c r="A7" s="7" t="s">
        <v>154</v>
      </c>
      <c r="B7" s="20">
        <v>1256</v>
      </c>
      <c r="C7" s="9">
        <v>792.23900000000003</v>
      </c>
      <c r="D7" s="9">
        <v>0.36899999999999999</v>
      </c>
      <c r="E7" s="15">
        <f>1-C7/B7</f>
        <v>0.36923646496815288</v>
      </c>
      <c r="F7" s="21">
        <f>B7/$B$4</f>
        <v>4</v>
      </c>
      <c r="G7" s="7" t="str">
        <f>IF(F7=4,"EF (4 câu, đã bỏ EF3)",IF(F7=20,"Rủi ro bên ngoài",IF(F7=31,"Rủi ro nội bộ","?")))</f>
        <v>EF (4 câu, đã bỏ EF3)</v>
      </c>
    </row>
    <row r="8" spans="1:7" x14ac:dyDescent="0.3">
      <c r="A8" s="7" t="s">
        <v>155</v>
      </c>
      <c r="B8" s="20">
        <v>6280</v>
      </c>
      <c r="C8" s="9">
        <v>2574.2600000000002</v>
      </c>
      <c r="D8" s="9">
        <v>0.59</v>
      </c>
      <c r="E8" s="15">
        <f>1-C8/B8</f>
        <v>0.59008598726114647</v>
      </c>
      <c r="F8" s="21">
        <f>B8/$B$4</f>
        <v>20</v>
      </c>
      <c r="G8" s="7" t="str">
        <f>IF(F8=4,"EF (4 câu, đã bỏ EF3)",IF(F8=20,"Rủi ro bên ngoài",IF(F8=31,"Rủi ro nội bộ","?")))</f>
        <v>Rủi ro bên ngoài</v>
      </c>
    </row>
    <row r="9" spans="1:7" x14ac:dyDescent="0.3">
      <c r="A9" s="7" t="s">
        <v>156</v>
      </c>
      <c r="B9" s="20">
        <v>9734</v>
      </c>
      <c r="C9" s="9">
        <v>4602.7</v>
      </c>
      <c r="D9" s="9">
        <v>0.52700000000000002</v>
      </c>
      <c r="E9" s="15">
        <f>1-C9/B9</f>
        <v>0.52715224984590092</v>
      </c>
      <c r="F9" s="21">
        <f>B9/$B$4</f>
        <v>31</v>
      </c>
      <c r="G9" s="7" t="str">
        <f>IF(F9=4,"EF (4 câu, đã bỏ EF3)",IF(F9=20,"Rủi ro bên ngoài",IF(F9=31,"Rủi ro nội bộ","?")))</f>
        <v>Rủi ro nội bộ</v>
      </c>
    </row>
    <row r="12" spans="1:7" ht="30" customHeight="1" x14ac:dyDescent="0.3">
      <c r="A12" s="6" t="s">
        <v>157</v>
      </c>
      <c r="B12" s="6" t="s">
        <v>158</v>
      </c>
      <c r="C12" s="6" t="s">
        <v>159</v>
      </c>
      <c r="D12" s="6" t="s">
        <v>160</v>
      </c>
      <c r="E12" s="6" t="s">
        <v>161</v>
      </c>
      <c r="F12" s="6"/>
      <c r="G12" s="6"/>
    </row>
    <row r="13" spans="1:7" x14ac:dyDescent="0.3">
      <c r="A13" s="8" t="s">
        <v>162</v>
      </c>
      <c r="B13" s="9">
        <v>0.72</v>
      </c>
      <c r="C13" s="9">
        <v>0.56599999999999995</v>
      </c>
      <c r="D13" s="15">
        <f>SQRT(B13*C13)</f>
        <v>0.63837293175697851</v>
      </c>
      <c r="E13" s="9">
        <v>0.63800000000000001</v>
      </c>
    </row>
    <row r="14" spans="1:7" x14ac:dyDescent="0.3">
      <c r="A14" s="8" t="s">
        <v>163</v>
      </c>
      <c r="B14" s="15">
        <f>B13</f>
        <v>0.72</v>
      </c>
      <c r="C14" s="15">
        <f>AVERAGE('AVE-CR'!I5:I17)</f>
        <v>0.75</v>
      </c>
      <c r="D14" s="15">
        <f>SQRT(B14*C14)</f>
        <v>0.73484692283495345</v>
      </c>
      <c r="E14" s="7" t="s">
        <v>38</v>
      </c>
    </row>
    <row r="17" spans="1:7" ht="30" customHeight="1" x14ac:dyDescent="0.3">
      <c r="A17" s="6" t="s">
        <v>164</v>
      </c>
      <c r="B17" s="6" t="s">
        <v>165</v>
      </c>
      <c r="C17" s="6" t="s">
        <v>166</v>
      </c>
      <c r="D17" s="6" t="s">
        <v>23</v>
      </c>
      <c r="E17" s="6"/>
      <c r="F17" s="6"/>
      <c r="G17" s="6"/>
    </row>
    <row r="18" spans="1:7" x14ac:dyDescent="0.3">
      <c r="A18" s="8" t="s">
        <v>167</v>
      </c>
      <c r="B18" s="9">
        <v>0.2</v>
      </c>
    </row>
    <row r="19" spans="1:7" x14ac:dyDescent="0.3">
      <c r="A19" s="8" t="s">
        <v>168</v>
      </c>
      <c r="B19" s="9">
        <v>0.67300000000000004</v>
      </c>
    </row>
    <row r="20" spans="1:7" ht="26.4" x14ac:dyDescent="0.3">
      <c r="A20" s="8" t="s">
        <v>169</v>
      </c>
      <c r="B20" s="15">
        <f>SUMPRODUCT(('Fornell-Larcker'!$B$5:$B$17="Nội bộ")*('Fornell-Larcker'!$C$19:$O$19="Nội bộ")*'Fornell-Larcker'!$C$5:$O$17)+7</f>
        <v>38.893999999999991</v>
      </c>
    </row>
    <row r="21" spans="1:7" ht="26.4" x14ac:dyDescent="0.3">
      <c r="A21" s="8" t="s">
        <v>170</v>
      </c>
      <c r="B21" s="15">
        <f>SUMPRODUCT(('Fornell-Larcker'!$B$5:$B$17="Bên ngoài")*('Fornell-Larcker'!$C$19:$O$19="Bên ngoài")*'Fornell-Larcker'!$C$5:$O$17)+6</f>
        <v>29.2</v>
      </c>
    </row>
    <row r="22" spans="1:7" ht="26.4" x14ac:dyDescent="0.3">
      <c r="A22" s="8" t="s">
        <v>171</v>
      </c>
      <c r="B22" s="15">
        <f>SUMPRODUCT(('Fornell-Larcker'!$B$5:$B$17="Nội bộ")*('Fornell-Larcker'!$C$19:$O$19="Bên ngoài")*'Fornell-Larcker'!$C$5:$O$17)</f>
        <v>28.012000000000004</v>
      </c>
    </row>
    <row r="23" spans="1:7" ht="26.4" x14ac:dyDescent="0.3">
      <c r="A23" s="8" t="s">
        <v>172</v>
      </c>
      <c r="B23" s="15">
        <f>B22/SQRT(B20*B21)</f>
        <v>0.83121120117034653</v>
      </c>
    </row>
    <row r="24" spans="1:7" x14ac:dyDescent="0.3">
      <c r="A24" s="8" t="s">
        <v>173</v>
      </c>
      <c r="B24" s="15">
        <f>B18^2+B19^2+2*B18*B19*B23</f>
        <v>0.71669105535505739</v>
      </c>
      <c r="C24" s="9">
        <v>0.72</v>
      </c>
      <c r="D24" s="18">
        <f>B24-C24</f>
        <v>-3.3089446449425797E-3</v>
      </c>
    </row>
    <row r="25" spans="1:7" x14ac:dyDescent="0.3">
      <c r="A25" s="8" t="s">
        <v>174</v>
      </c>
      <c r="B25" s="15">
        <f>(B24-(B19+B18*B23)^2)/(1-B24)</f>
        <v>4.3639700742426894E-2</v>
      </c>
      <c r="C25" s="9">
        <v>4.2000000000000003E-2</v>
      </c>
      <c r="D25" s="18">
        <f>B25-C25</f>
        <v>1.6397007424268917E-3</v>
      </c>
    </row>
    <row r="26" spans="1:7" ht="26.4" x14ac:dyDescent="0.3">
      <c r="A26" s="8" t="s">
        <v>175</v>
      </c>
      <c r="B26" s="15">
        <f>(B24-(B18+B19*B23)^2)/(1-B24)</f>
        <v>0.49414215043916321</v>
      </c>
      <c r="C26" s="9">
        <v>0.47099999999999997</v>
      </c>
      <c r="D26" s="18">
        <f>B26-C26</f>
        <v>2.3142150439163234E-2</v>
      </c>
    </row>
    <row r="28" spans="1:7" ht="22.8" x14ac:dyDescent="0.3">
      <c r="A28" s="16" t="s">
        <v>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8"/>
  <sheetViews>
    <sheetView workbookViewId="0"/>
  </sheetViews>
  <sheetFormatPr defaultRowHeight="14.4" x14ac:dyDescent="0.3"/>
  <cols>
    <col min="1" max="1" width="8" customWidth="1"/>
    <col min="2" max="7" width="11" customWidth="1"/>
    <col min="8" max="8" width="14" customWidth="1"/>
  </cols>
  <sheetData>
    <row r="1" spans="1:8" ht="15.6" x14ac:dyDescent="0.3">
      <c r="A1" s="1" t="s">
        <v>177</v>
      </c>
    </row>
    <row r="2" spans="1:8" x14ac:dyDescent="0.3">
      <c r="A2" s="5" t="s">
        <v>178</v>
      </c>
    </row>
    <row r="4" spans="1:8" ht="30" customHeight="1" x14ac:dyDescent="0.3">
      <c r="A4" s="6" t="s">
        <v>60</v>
      </c>
      <c r="B4" s="6" t="s">
        <v>179</v>
      </c>
      <c r="C4" s="6" t="s">
        <v>180</v>
      </c>
      <c r="D4" s="6" t="s">
        <v>181</v>
      </c>
      <c r="E4" s="6" t="s">
        <v>182</v>
      </c>
      <c r="F4" s="6" t="s">
        <v>183</v>
      </c>
      <c r="G4" s="6" t="s">
        <v>184</v>
      </c>
      <c r="H4" s="6" t="s">
        <v>185</v>
      </c>
    </row>
    <row r="5" spans="1:8" x14ac:dyDescent="0.3">
      <c r="A5" s="7" t="s">
        <v>72</v>
      </c>
      <c r="B5" s="9">
        <v>0.16900000000000001</v>
      </c>
      <c r="C5" s="15">
        <v>5.2600000000000001E-2</v>
      </c>
      <c r="D5" s="10">
        <f t="shared" ref="D5:D17" si="0">B5/F5</f>
        <v>6.4380952380952384E-3</v>
      </c>
      <c r="E5" s="10">
        <v>1.15E-2</v>
      </c>
      <c r="F5" s="22">
        <v>26.25</v>
      </c>
      <c r="G5" s="23">
        <f t="shared" ref="G5:G17" si="1">C5/E5</f>
        <v>4.5739130434782611</v>
      </c>
      <c r="H5" s="23">
        <f t="shared" ref="H5:H17" si="2">E5/D5</f>
        <v>1.7862426035502958</v>
      </c>
    </row>
    <row r="6" spans="1:8" x14ac:dyDescent="0.3">
      <c r="A6" s="7" t="s">
        <v>73</v>
      </c>
      <c r="B6" s="9">
        <v>0.114</v>
      </c>
      <c r="C6" s="15">
        <v>3.95E-2</v>
      </c>
      <c r="D6" s="10">
        <f t="shared" si="0"/>
        <v>3.541142484391017E-3</v>
      </c>
      <c r="E6" s="10">
        <v>8.6E-3</v>
      </c>
      <c r="F6" s="22">
        <v>32.192999999999998</v>
      </c>
      <c r="G6" s="23">
        <f t="shared" si="1"/>
        <v>4.5930232558139537</v>
      </c>
      <c r="H6" s="23">
        <f t="shared" si="2"/>
        <v>2.428594736842105</v>
      </c>
    </row>
    <row r="7" spans="1:8" x14ac:dyDescent="0.3">
      <c r="A7" s="7" t="s">
        <v>75</v>
      </c>
      <c r="B7" s="9">
        <v>9.7000000000000003E-2</v>
      </c>
      <c r="C7" s="15">
        <v>3.2500000000000001E-2</v>
      </c>
      <c r="D7" s="10">
        <f t="shared" si="0"/>
        <v>3.1428201140487298E-3</v>
      </c>
      <c r="E7" s="10">
        <v>7.1000000000000004E-3</v>
      </c>
      <c r="F7" s="22">
        <v>30.864000000000001</v>
      </c>
      <c r="G7" s="23">
        <f t="shared" si="1"/>
        <v>4.577464788732394</v>
      </c>
      <c r="H7" s="23">
        <f t="shared" si="2"/>
        <v>2.2591175257731959</v>
      </c>
    </row>
    <row r="8" spans="1:8" x14ac:dyDescent="0.3">
      <c r="A8" s="7" t="s">
        <v>77</v>
      </c>
      <c r="B8" s="9">
        <v>0.19700000000000001</v>
      </c>
      <c r="C8" s="15">
        <v>6.1400000000000003E-2</v>
      </c>
      <c r="D8" s="10">
        <f t="shared" si="0"/>
        <v>5.5911903275245502E-3</v>
      </c>
      <c r="E8" s="10">
        <v>1.3100000000000001E-2</v>
      </c>
      <c r="F8" s="22">
        <v>35.234000000000002</v>
      </c>
      <c r="G8" s="23">
        <f t="shared" si="1"/>
        <v>4.6870229007633588</v>
      </c>
      <c r="H8" s="23">
        <f t="shared" si="2"/>
        <v>2.3429715736040611</v>
      </c>
    </row>
    <row r="9" spans="1:8" x14ac:dyDescent="0.3">
      <c r="A9" s="7" t="s">
        <v>79</v>
      </c>
      <c r="B9" s="9">
        <v>0.14299999999999999</v>
      </c>
      <c r="C9" s="15">
        <v>4.4600000000000001E-2</v>
      </c>
      <c r="D9" s="10">
        <f t="shared" si="0"/>
        <v>3.2735846896962202E-3</v>
      </c>
      <c r="E9" s="10">
        <v>9.4999999999999998E-3</v>
      </c>
      <c r="F9" s="22">
        <v>43.683</v>
      </c>
      <c r="G9" s="23">
        <f t="shared" si="1"/>
        <v>4.6947368421052635</v>
      </c>
      <c r="H9" s="23">
        <f t="shared" si="2"/>
        <v>2.9020174825174827</v>
      </c>
    </row>
    <row r="10" spans="1:8" x14ac:dyDescent="0.3">
      <c r="A10" s="7" t="s">
        <v>81</v>
      </c>
      <c r="B10" s="9">
        <v>0.186</v>
      </c>
      <c r="C10" s="15">
        <v>5.4699999999999999E-2</v>
      </c>
      <c r="D10" s="10">
        <f t="shared" si="0"/>
        <v>4.5458989148499367E-3</v>
      </c>
      <c r="E10" s="10">
        <v>1.1599999999999999E-2</v>
      </c>
      <c r="F10" s="22">
        <v>40.915999999999997</v>
      </c>
      <c r="G10" s="23">
        <f t="shared" si="1"/>
        <v>4.7155172413793105</v>
      </c>
      <c r="H10" s="23">
        <f t="shared" si="2"/>
        <v>2.5517505376344083</v>
      </c>
    </row>
    <row r="11" spans="1:8" x14ac:dyDescent="0.3">
      <c r="A11" s="7" t="s">
        <v>83</v>
      </c>
      <c r="B11" s="9">
        <v>0.21299999999999999</v>
      </c>
      <c r="C11" s="15">
        <v>6.6100000000000006E-2</v>
      </c>
      <c r="D11" s="10">
        <f t="shared" si="0"/>
        <v>5.8710033076074973E-3</v>
      </c>
      <c r="E11" s="10">
        <v>1.4E-2</v>
      </c>
      <c r="F11" s="22">
        <v>36.28</v>
      </c>
      <c r="G11" s="23">
        <f t="shared" si="1"/>
        <v>4.7214285714285715</v>
      </c>
      <c r="H11" s="23">
        <f t="shared" si="2"/>
        <v>2.3846009389671363</v>
      </c>
    </row>
    <row r="12" spans="1:8" x14ac:dyDescent="0.3">
      <c r="A12" s="7" t="s">
        <v>85</v>
      </c>
      <c r="B12" s="9">
        <v>0.23100000000000001</v>
      </c>
      <c r="C12" s="15">
        <v>0.1166</v>
      </c>
      <c r="D12" s="10">
        <f t="shared" si="0"/>
        <v>5.2402341091602016E-3</v>
      </c>
      <c r="E12" s="10">
        <v>1.5100000000000001E-2</v>
      </c>
      <c r="F12" s="22">
        <v>44.082000000000001</v>
      </c>
      <c r="G12" s="23">
        <f t="shared" si="1"/>
        <v>7.7218543046357606</v>
      </c>
      <c r="H12" s="23">
        <f t="shared" si="2"/>
        <v>2.8815506493506495</v>
      </c>
    </row>
    <row r="13" spans="1:8" x14ac:dyDescent="0.3">
      <c r="A13" s="7" t="s">
        <v>87</v>
      </c>
      <c r="B13" s="9">
        <v>0.23599999999999999</v>
      </c>
      <c r="C13" s="15">
        <v>0.1149</v>
      </c>
      <c r="D13" s="10">
        <f t="shared" si="0"/>
        <v>5.5954667235697175E-3</v>
      </c>
      <c r="E13" s="10">
        <v>1.47E-2</v>
      </c>
      <c r="F13" s="22">
        <v>42.177</v>
      </c>
      <c r="G13" s="23">
        <f t="shared" si="1"/>
        <v>7.8163265306122449</v>
      </c>
      <c r="H13" s="23">
        <f t="shared" si="2"/>
        <v>2.6271266949152543</v>
      </c>
    </row>
    <row r="14" spans="1:8" x14ac:dyDescent="0.3">
      <c r="A14" s="7" t="s">
        <v>89</v>
      </c>
      <c r="B14" s="9">
        <v>0.152</v>
      </c>
      <c r="C14" s="15">
        <v>8.2699999999999996E-2</v>
      </c>
      <c r="D14" s="10">
        <f t="shared" si="0"/>
        <v>4.5567646970650841E-3</v>
      </c>
      <c r="E14" s="10">
        <v>1.09E-2</v>
      </c>
      <c r="F14" s="22">
        <v>33.356999999999999</v>
      </c>
      <c r="G14" s="23">
        <f t="shared" si="1"/>
        <v>7.5871559633027523</v>
      </c>
      <c r="H14" s="23">
        <f t="shared" si="2"/>
        <v>2.3920480263157895</v>
      </c>
    </row>
    <row r="15" spans="1:8" x14ac:dyDescent="0.3">
      <c r="A15" s="7" t="s">
        <v>91</v>
      </c>
      <c r="B15" s="9">
        <v>0.154</v>
      </c>
      <c r="C15" s="15">
        <v>8.5099999999999995E-2</v>
      </c>
      <c r="D15" s="10">
        <f t="shared" si="0"/>
        <v>5.3054053122954491E-3</v>
      </c>
      <c r="E15" s="10">
        <v>1.11E-2</v>
      </c>
      <c r="F15" s="22">
        <v>29.027000000000001</v>
      </c>
      <c r="G15" s="23">
        <f t="shared" si="1"/>
        <v>7.6666666666666661</v>
      </c>
      <c r="H15" s="23">
        <f t="shared" si="2"/>
        <v>2.0922058441558442</v>
      </c>
    </row>
    <row r="16" spans="1:8" x14ac:dyDescent="0.3">
      <c r="A16" s="7" t="s">
        <v>93</v>
      </c>
      <c r="B16" s="9">
        <v>0.18</v>
      </c>
      <c r="C16" s="15">
        <v>8.4699999999999998E-2</v>
      </c>
      <c r="D16" s="10">
        <f t="shared" si="0"/>
        <v>4.4385264092321342E-3</v>
      </c>
      <c r="E16" s="10">
        <v>1.11E-2</v>
      </c>
      <c r="F16" s="22">
        <v>40.554000000000002</v>
      </c>
      <c r="G16" s="23">
        <f t="shared" si="1"/>
        <v>7.6306306306306304</v>
      </c>
      <c r="H16" s="23">
        <f t="shared" si="2"/>
        <v>2.5008300000000006</v>
      </c>
    </row>
    <row r="17" spans="1:8" x14ac:dyDescent="0.3">
      <c r="A17" s="7" t="s">
        <v>94</v>
      </c>
      <c r="B17" s="9">
        <v>0.152</v>
      </c>
      <c r="C17" s="15">
        <v>8.1100000000000005E-2</v>
      </c>
      <c r="D17" s="10">
        <f t="shared" si="0"/>
        <v>4.2090106055990917E-3</v>
      </c>
      <c r="E17" s="10">
        <v>1.0800000000000001E-2</v>
      </c>
      <c r="F17" s="22">
        <v>36.113</v>
      </c>
      <c r="G17" s="23">
        <f t="shared" si="1"/>
        <v>7.5092592592592595</v>
      </c>
      <c r="H17" s="23">
        <f t="shared" si="2"/>
        <v>2.5659236842105266</v>
      </c>
    </row>
    <row r="18" spans="1:8" x14ac:dyDescent="0.3">
      <c r="A18" s="14" t="s">
        <v>186</v>
      </c>
      <c r="B18" s="19">
        <f t="shared" ref="B18:H18" si="3">AVERAGE(B5:B17)</f>
        <v>0.1710769230769231</v>
      </c>
      <c r="C18" s="19">
        <f t="shared" si="3"/>
        <v>7.0499999999999993E-2</v>
      </c>
      <c r="D18" s="19">
        <f t="shared" si="3"/>
        <v>4.7499340717796048E-3</v>
      </c>
      <c r="E18" s="19">
        <f t="shared" si="3"/>
        <v>1.146923076923077E-2</v>
      </c>
      <c r="F18" s="19">
        <f t="shared" si="3"/>
        <v>36.210000000000008</v>
      </c>
      <c r="G18" s="19">
        <f t="shared" si="3"/>
        <v>6.0380769229852636</v>
      </c>
      <c r="H18" s="19">
        <f t="shared" si="3"/>
        <v>2.4396138690643658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Hướng dẫn</vt:lpstr>
      <vt:lpstr>RII</vt:lpstr>
      <vt:lpstr>AVE-CR</vt:lpstr>
      <vt:lpstr>Fornell-Larcker</vt:lpstr>
      <vt:lpstr>Cấu trúc</vt:lpstr>
      <vt:lpstr>Mô phỏng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Đàm Dũng</cp:lastModifiedBy>
  <dcterms:created xsi:type="dcterms:W3CDTF">2026-10-26T08:42:32Z</dcterms:created>
  <dcterms:modified xsi:type="dcterms:W3CDTF">2026-10-26T08:42:55Z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2026-10-26T08:42:55Z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d44c6ba8-8a08-4456-a08e-a8d4f028be68</vt:lpwstr>
  </property>
  <property fmtid="{D5CDD505-2E9C-101B-9397-08002B2CF9AE}" pid="7" name="MSIP_Label_defa4170-0d19-0005-0004-bc88714345d2_ActionId">
    <vt:lpwstr>a927fcb1-4a27-4a85-90aa-5836cb2459f4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