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Esclipe_Web\Quan ly du an HTTT\quan-ly-du-an\"/>
    </mc:Choice>
  </mc:AlternateContent>
  <xr:revisionPtr revIDLastSave="0" documentId="13_ncr:1_{CD0B2752-3E11-49D2-8677-4AE2CDE048DE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Lịch trình" sheetId="1" r:id="rId1"/>
    <sheet name="Sổ rủi ro" sheetId="2" r:id="rId2"/>
    <sheet name="Monte Carl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3" l="1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P16" i="2"/>
  <c r="J16" i="2"/>
  <c r="H16" i="2"/>
  <c r="P15" i="2"/>
  <c r="J15" i="2"/>
  <c r="H15" i="2"/>
  <c r="P14" i="2"/>
  <c r="J14" i="2"/>
  <c r="H14" i="2"/>
  <c r="P13" i="2"/>
  <c r="J13" i="2"/>
  <c r="H13" i="2"/>
  <c r="P12" i="2"/>
  <c r="J12" i="2"/>
  <c r="H12" i="2"/>
  <c r="P11" i="2"/>
  <c r="J11" i="2"/>
  <c r="H11" i="2"/>
  <c r="P10" i="2"/>
  <c r="J10" i="2"/>
  <c r="H10" i="2"/>
  <c r="P9" i="2"/>
  <c r="J9" i="2"/>
  <c r="H9" i="2"/>
  <c r="P8" i="2"/>
  <c r="J8" i="2"/>
  <c r="H8" i="2"/>
  <c r="P7" i="2"/>
  <c r="J7" i="2"/>
  <c r="H7" i="2"/>
  <c r="P6" i="2"/>
  <c r="J6" i="2"/>
  <c r="H6" i="2"/>
  <c r="P5" i="2"/>
  <c r="J5" i="2"/>
  <c r="H5" i="2"/>
  <c r="C19" i="1"/>
  <c r="C12" i="3" s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C21" i="1" s="1"/>
  <c r="G5" i="1"/>
  <c r="C20" i="1" s="1"/>
  <c r="K16" i="2" l="1"/>
  <c r="L16" i="2" s="1"/>
  <c r="M16" i="2" s="1"/>
  <c r="I16" i="2"/>
  <c r="I15" i="2"/>
  <c r="K15" i="2"/>
  <c r="L15" i="2" s="1"/>
  <c r="M15" i="2" s="1"/>
  <c r="K14" i="2"/>
  <c r="L14" i="2" s="1"/>
  <c r="M14" i="2" s="1"/>
  <c r="I14" i="2"/>
  <c r="I13" i="2"/>
  <c r="K13" i="2"/>
  <c r="L13" i="2" s="1"/>
  <c r="M13" i="2" s="1"/>
  <c r="K12" i="2"/>
  <c r="L12" i="2" s="1"/>
  <c r="M12" i="2" s="1"/>
  <c r="I12" i="2"/>
  <c r="I11" i="2"/>
  <c r="K11" i="2"/>
  <c r="L11" i="2" s="1"/>
  <c r="M11" i="2" s="1"/>
  <c r="K10" i="2"/>
  <c r="L10" i="2" s="1"/>
  <c r="M10" i="2" s="1"/>
  <c r="I10" i="2"/>
  <c r="K9" i="2"/>
  <c r="L9" i="2" s="1"/>
  <c r="M9" i="2" s="1"/>
  <c r="I9" i="2"/>
  <c r="K8" i="2"/>
  <c r="L8" i="2" s="1"/>
  <c r="M8" i="2" s="1"/>
  <c r="I8" i="2"/>
  <c r="I7" i="2"/>
  <c r="K7" i="2"/>
  <c r="L7" i="2" s="1"/>
  <c r="M7" i="2" s="1"/>
  <c r="K6" i="2"/>
  <c r="L6" i="2" s="1"/>
  <c r="M6" i="2" s="1"/>
  <c r="I6" i="2"/>
  <c r="K5" i="2"/>
  <c r="L5" i="2" s="1"/>
  <c r="M5" i="2" s="1"/>
  <c r="I5" i="2"/>
  <c r="I18" i="2" l="1"/>
</calcChain>
</file>

<file path=xl/sharedStrings.xml><?xml version="1.0" encoding="utf-8"?>
<sst xmlns="http://schemas.openxmlformats.org/spreadsheetml/2006/main" count="148" uniqueCount="120">
  <si>
    <t>LỊCH TRÌNH DỰ ÁN CỔNG ĐĂNG KÝ DỊCH VỤ TRỰC TUYẾN (ước lượng ba điểm, PERT)</t>
  </si>
  <si>
    <t>Đơn vị: ngày làm việc. Ô vàng: thông số giả định để minh hoạ. Kỳ vọng PERT = (O + 4M + P)/6; độ lệch chuẩn = (P − O)/6.</t>
  </si>
  <si>
    <t>Mã</t>
  </si>
  <si>
    <t>Công việc</t>
  </si>
  <si>
    <t>Tiền nhiệm</t>
  </si>
  <si>
    <t>Lạc quan (O)</t>
  </si>
  <si>
    <t>Khả dĩ (M)</t>
  </si>
  <si>
    <t>Bi quan (P)</t>
  </si>
  <si>
    <t>Kỳ vọng PERT</t>
  </si>
  <si>
    <t>Độ lệch chuẩn</t>
  </si>
  <si>
    <t>Chỉ số tới hạn (MC)</t>
  </si>
  <si>
    <t>T1</t>
  </si>
  <si>
    <t>Khảo sát, thu thập yêu cầu</t>
  </si>
  <si>
    <t>—</t>
  </si>
  <si>
    <t>T2</t>
  </si>
  <si>
    <t>Phân tích, đặc tả yêu cầu</t>
  </si>
  <si>
    <t>T3</t>
  </si>
  <si>
    <t>Thiết kế kiến trúc và CSDL</t>
  </si>
  <si>
    <t>T4</t>
  </si>
  <si>
    <t>Thiết kế giao diện (UI/UX)</t>
  </si>
  <si>
    <t>T5</t>
  </si>
  <si>
    <t>Phát triển back-end</t>
  </si>
  <si>
    <t>T6</t>
  </si>
  <si>
    <t>Phát triển front-end</t>
  </si>
  <si>
    <t>T7</t>
  </si>
  <si>
    <t>Tích hợp với hệ thống hiện có</t>
  </si>
  <si>
    <t>T8</t>
  </si>
  <si>
    <t>Kiểm thử hệ thống, kiểm thử tải</t>
  </si>
  <si>
    <t>T6, T7</t>
  </si>
  <si>
    <t>T9</t>
  </si>
  <si>
    <t>Kiểm thử chấp nhận (UAT)</t>
  </si>
  <si>
    <t>T10</t>
  </si>
  <si>
    <t>Đào tạo người dùng</t>
  </si>
  <si>
    <t>T11</t>
  </si>
  <si>
    <t>Chuyển đổi dữ liệu</t>
  </si>
  <si>
    <t>T12</t>
  </si>
  <si>
    <t>Triển khai chính thức</t>
  </si>
  <si>
    <t>T10, T11</t>
  </si>
  <si>
    <t>Đường găng theo thời lượng khả dĩ:</t>
  </si>
  <si>
    <t>T1 → T2 → T3 → T5 → T7 → T8 → T9 → T10 → T12</t>
  </si>
  <si>
    <t>Độ dài đường găng (ngày):</t>
  </si>
  <si>
    <t>Kỳ vọng PERT đường găng (ngày):</t>
  </si>
  <si>
    <t>Độ lệch chuẩn đường găng (ngày):</t>
  </si>
  <si>
    <t>Cột I: kết quả Monte Carlo do src/vi_du_httt.py tính.</t>
  </si>
  <si>
    <t>SỔ ĐĂNG KÝ RỦI RO – XẾP THEO 13 NHÓM CỦA KASSEM (2022), BÀI HỌC TỪ HEALTHCARE.GOV (GAO-14-694)</t>
  </si>
  <si>
    <t>Xác suất và số ngày trễ là giả định. Mức P: &lt;10% →1, &lt;20% →2, &lt;30% →3, &lt;40% →4, còn lại 5. Mức I theo số ngày trễ trung bình: &lt;3 →1, &lt;5 →2, &lt;7 →3, &lt;10 →4, còn lại 5. Điểm = P × I; Đỏ ≥ 15, Vàng 8–14.</t>
  </si>
  <si>
    <t>Nhóm</t>
  </si>
  <si>
    <t>Rủi ro</t>
  </si>
  <si>
    <t>Bài học Healthcare.gov</t>
  </si>
  <si>
    <t>Xác suất</t>
  </si>
  <si>
    <t>Trễ min</t>
  </si>
  <si>
    <t>Trễ max</t>
  </si>
  <si>
    <t>Trễ TB</t>
  </si>
  <si>
    <t>Trễ kỳ vọng</t>
  </si>
  <si>
    <t>Mức P</t>
  </si>
  <si>
    <t>Mức I</t>
  </si>
  <si>
    <t>Điểm</t>
  </si>
  <si>
    <t>Vùng</t>
  </si>
  <si>
    <t>Việc bị ảnh hưởng</t>
  </si>
  <si>
    <t>Độ nhạy MC (ngày)</t>
  </si>
  <si>
    <t>Đóng góp kỳ vọng (ngày)</t>
  </si>
  <si>
    <t>R1</t>
  </si>
  <si>
    <t>CL</t>
  </si>
  <si>
    <t>Chủ đầu tư thay đổi yêu cầu sau khi chốt đặc tả</t>
  </si>
  <si>
    <t>Yêu cầu thay đổi liên tục gây chậm và lãng phí công sức nhà thầu</t>
  </si>
  <si>
    <t>R2</t>
  </si>
  <si>
    <t>Chủ đầu tư chậm phê duyệt kết quả UAT</t>
  </si>
  <si>
    <t>Đánh giá sẵn sàng bị dời sát ngày vận hành, thiếu phê duyệt</t>
  </si>
  <si>
    <t>R3</t>
  </si>
  <si>
    <t>CO</t>
  </si>
  <si>
    <t>Đội phát triển thiếu kinh nghiệm công nghệ mới</t>
  </si>
  <si>
    <t>Cách phát triển tăng dần lần đầu được áp dụng</t>
  </si>
  <si>
    <t>R4</t>
  </si>
  <si>
    <t>FD</t>
  </si>
  <si>
    <t>Ước tính khối lượng front-end quá thấp</t>
  </si>
  <si>
    <t>Giao việc khi chưa biết quy mô người dùng</t>
  </si>
  <si>
    <t>R5</t>
  </si>
  <si>
    <t>TC</t>
  </si>
  <si>
    <t>Hợp đồng không rõ phạm vi, phải đàm phán lại</t>
  </si>
  <si>
    <t>Hợp đồng chi phí thực thanh toán, ký trước khi rõ yêu cầu</t>
  </si>
  <si>
    <t>R6</t>
  </si>
  <si>
    <t>RM</t>
  </si>
  <si>
    <t>Thiếu nhân lực do nhân sự chủ chốt nghỉ việc</t>
  </si>
  <si>
    <t>R7</t>
  </si>
  <si>
    <t>MR</t>
  </si>
  <si>
    <t>Giám sát nhà thầu lỏng lẻo, lỗi phát hiện muộn</t>
  </si>
  <si>
    <t>Không dùng kế hoạch giám sát chất lượng sẵn có</t>
  </si>
  <si>
    <t>R8</t>
  </si>
  <si>
    <t>PO</t>
  </si>
  <si>
    <t>Thay đổi quy định bảo vệ dữ liệu cá nhân</t>
  </si>
  <si>
    <t>R9</t>
  </si>
  <si>
    <t>LP</t>
  </si>
  <si>
    <t>Người dùng nội bộ chống đối quy trình mới</t>
  </si>
  <si>
    <t>R10</t>
  </si>
  <si>
    <t>SE</t>
  </si>
  <si>
    <t>Phát hiện lỗ hổng bảo mật khi kiểm thử</t>
  </si>
  <si>
    <t>Vận hành khi chưa kiểm chứng đáp ứng yêu cầu</t>
  </si>
  <si>
    <t>R11</t>
  </si>
  <si>
    <t>Tích hợp hệ thống cũ khó hơn dự kiến</t>
  </si>
  <si>
    <t>Cổng trao đổi dữ liệu tăng chi phí gần gấp ba</t>
  </si>
  <si>
    <t>R12</t>
  </si>
  <si>
    <t>FM</t>
  </si>
  <si>
    <t>Sự cố hạ tầng, thiên tai lúc triển khai</t>
  </si>
  <si>
    <t>Tổng trễ kỳ vọng nếu cộng dồn (ngày)</t>
  </si>
  <si>
    <t>KẾT QUẢ MÔ PHỎNG MONTE CARLO (10.000 LẦN)</t>
  </si>
  <si>
    <t>Giá trị do src/vi_du_httt.py tính; thời lượng theo phân phối tam giác (O, M, P), rủi ro xảy ra theo Bernoulli.</t>
  </si>
  <si>
    <t>Chỉ số</t>
  </si>
  <si>
    <t>Không tính rủi ro</t>
  </si>
  <si>
    <t>Có rủi ro</t>
  </si>
  <si>
    <t>Đến ngày</t>
  </si>
  <si>
    <t>Số lần (không rủi ro)</t>
  </si>
  <si>
    <t>Số lần (có rủi ro)</t>
  </si>
  <si>
    <t>Tích lũy (có rủi ro)</t>
  </si>
  <si>
    <t>Trung bình (ngày)</t>
  </si>
  <si>
    <t>Độ lệch chuẩn (ngày)</t>
  </si>
  <si>
    <t>P50 (ngày)</t>
  </si>
  <si>
    <t>P80 (ngày)</t>
  </si>
  <si>
    <t>P90 (ngày)</t>
  </si>
  <si>
    <t>Xác suất xong trong 95 ngày</t>
  </si>
  <si>
    <t>Dự phòng thời gian đề xuất (P80 − kế hoạch)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</si>
</sst>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2"/>
      <color rgb="FF1F4E78"/>
      <name val="Arial"/>
    </font>
    <font>
      <i/>
      <sz val="9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1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Đóng góp kỳ vọng của từng rủi ro vào thời gian dự án (ngày)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'Sổ rủi ro'!$P$4</c:f>
              <c:strCache>
                <c:ptCount val="1"/>
                <c:pt idx="0">
                  <c:v>Đóng góp kỳ vọng (ngày)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'Sổ rủi ro'!$A$5:$A$16</c:f>
              <c:strCache>
                <c:ptCount val="12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  <c:pt idx="6">
                  <c:v>R7</c:v>
                </c:pt>
                <c:pt idx="7">
                  <c:v>R8</c:v>
                </c:pt>
                <c:pt idx="8">
                  <c:v>R9</c:v>
                </c:pt>
                <c:pt idx="9">
                  <c:v>R10</c:v>
                </c:pt>
                <c:pt idx="10">
                  <c:v>R11</c:v>
                </c:pt>
                <c:pt idx="11">
                  <c:v>R12</c:v>
                </c:pt>
              </c:strCache>
            </c:strRef>
          </c:cat>
          <c:val>
            <c:numRef>
              <c:f>'Sổ rủi ro'!$P$5:$P$16</c:f>
              <c:numCache>
                <c:formatCode>0.00</c:formatCode>
                <c:ptCount val="12"/>
                <c:pt idx="0">
                  <c:v>3.8840000000000003</c:v>
                </c:pt>
                <c:pt idx="1">
                  <c:v>1.7430000000000001</c:v>
                </c:pt>
                <c:pt idx="2">
                  <c:v>2.3969999999999998</c:v>
                </c:pt>
                <c:pt idx="3">
                  <c:v>0.11549999999999999</c:v>
                </c:pt>
                <c:pt idx="4">
                  <c:v>1.3840000000000001</c:v>
                </c:pt>
                <c:pt idx="5">
                  <c:v>0.1125</c:v>
                </c:pt>
                <c:pt idx="6">
                  <c:v>1.587</c:v>
                </c:pt>
                <c:pt idx="7">
                  <c:v>1.0409999999999999</c:v>
                </c:pt>
                <c:pt idx="8">
                  <c:v>1.08</c:v>
                </c:pt>
                <c:pt idx="9">
                  <c:v>1.675</c:v>
                </c:pt>
                <c:pt idx="10">
                  <c:v>3.024</c:v>
                </c:pt>
                <c:pt idx="11">
                  <c:v>0.49199999999999999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1-4582-9B25-02F34EC02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Phân phối thời gian hoàn thành (10.000 lần mô phỏng)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'Monte Carlo'!$F$4</c:f>
              <c:strCache>
                <c:ptCount val="1"/>
                <c:pt idx="0">
                  <c:v>Số lần (không rủi ro)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'Monte Carlo'!$E$5:$E$22</c:f>
              <c:numCache>
                <c:formatCode>General</c:formatCode>
                <c:ptCount val="18"/>
                <c:pt idx="0">
                  <c:v>85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105</c:v>
                </c:pt>
                <c:pt idx="5">
                  <c:v>110</c:v>
                </c:pt>
                <c:pt idx="6">
                  <c:v>115</c:v>
                </c:pt>
                <c:pt idx="7">
                  <c:v>120</c:v>
                </c:pt>
                <c:pt idx="8">
                  <c:v>125</c:v>
                </c:pt>
                <c:pt idx="9">
                  <c:v>130</c:v>
                </c:pt>
                <c:pt idx="10">
                  <c:v>135</c:v>
                </c:pt>
                <c:pt idx="11">
                  <c:v>140</c:v>
                </c:pt>
                <c:pt idx="12">
                  <c:v>145</c:v>
                </c:pt>
                <c:pt idx="13">
                  <c:v>150</c:v>
                </c:pt>
                <c:pt idx="14">
                  <c:v>155</c:v>
                </c:pt>
                <c:pt idx="15">
                  <c:v>160</c:v>
                </c:pt>
                <c:pt idx="16">
                  <c:v>165</c:v>
                </c:pt>
                <c:pt idx="17">
                  <c:v>170</c:v>
                </c:pt>
              </c:numCache>
            </c:numRef>
          </c:cat>
          <c:val>
            <c:numRef>
              <c:f>'Monte Carlo'!$F$5:$F$22</c:f>
              <c:numCache>
                <c:formatCode>General</c:formatCode>
                <c:ptCount val="18"/>
                <c:pt idx="0">
                  <c:v>10</c:v>
                </c:pt>
                <c:pt idx="1">
                  <c:v>216</c:v>
                </c:pt>
                <c:pt idx="2">
                  <c:v>1644</c:v>
                </c:pt>
                <c:pt idx="3">
                  <c:v>3528</c:v>
                </c:pt>
                <c:pt idx="4">
                  <c:v>3130</c:v>
                </c:pt>
                <c:pt idx="5">
                  <c:v>1237</c:v>
                </c:pt>
                <c:pt idx="6">
                  <c:v>219</c:v>
                </c:pt>
                <c:pt idx="7">
                  <c:v>15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6-4B4D-BF44-26222E41FC72}"/>
            </c:ext>
          </c:extLst>
        </c:ser>
        <c:ser>
          <c:idx val="1"/>
          <c:order val="1"/>
          <c:tx>
            <c:strRef>
              <c:f>'Monte Carlo'!$G$4</c:f>
              <c:strCache>
                <c:ptCount val="1"/>
                <c:pt idx="0">
                  <c:v>Số lần (có rủi ro)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'Monte Carlo'!$E$5:$E$22</c:f>
              <c:numCache>
                <c:formatCode>General</c:formatCode>
                <c:ptCount val="18"/>
                <c:pt idx="0">
                  <c:v>85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105</c:v>
                </c:pt>
                <c:pt idx="5">
                  <c:v>110</c:v>
                </c:pt>
                <c:pt idx="6">
                  <c:v>115</c:v>
                </c:pt>
                <c:pt idx="7">
                  <c:v>120</c:v>
                </c:pt>
                <c:pt idx="8">
                  <c:v>125</c:v>
                </c:pt>
                <c:pt idx="9">
                  <c:v>130</c:v>
                </c:pt>
                <c:pt idx="10">
                  <c:v>135</c:v>
                </c:pt>
                <c:pt idx="11">
                  <c:v>140</c:v>
                </c:pt>
                <c:pt idx="12">
                  <c:v>145</c:v>
                </c:pt>
                <c:pt idx="13">
                  <c:v>150</c:v>
                </c:pt>
                <c:pt idx="14">
                  <c:v>155</c:v>
                </c:pt>
                <c:pt idx="15">
                  <c:v>160</c:v>
                </c:pt>
                <c:pt idx="16">
                  <c:v>165</c:v>
                </c:pt>
                <c:pt idx="17">
                  <c:v>170</c:v>
                </c:pt>
              </c:numCache>
            </c:numRef>
          </c:cat>
          <c:val>
            <c:numRef>
              <c:f>'Monte Carlo'!$G$5:$G$22</c:f>
              <c:numCache>
                <c:formatCode>General</c:formatCode>
                <c:ptCount val="18"/>
                <c:pt idx="0">
                  <c:v>1</c:v>
                </c:pt>
                <c:pt idx="1">
                  <c:v>11</c:v>
                </c:pt>
                <c:pt idx="2">
                  <c:v>57</c:v>
                </c:pt>
                <c:pt idx="3">
                  <c:v>293</c:v>
                </c:pt>
                <c:pt idx="4">
                  <c:v>678</c:v>
                </c:pt>
                <c:pt idx="5">
                  <c:v>1234</c:v>
                </c:pt>
                <c:pt idx="6">
                  <c:v>1619</c:v>
                </c:pt>
                <c:pt idx="7">
                  <c:v>1762</c:v>
                </c:pt>
                <c:pt idx="8">
                  <c:v>1541</c:v>
                </c:pt>
                <c:pt idx="9">
                  <c:v>1136</c:v>
                </c:pt>
                <c:pt idx="10">
                  <c:v>801</c:v>
                </c:pt>
                <c:pt idx="11">
                  <c:v>450</c:v>
                </c:pt>
                <c:pt idx="12">
                  <c:v>240</c:v>
                </c:pt>
                <c:pt idx="13">
                  <c:v>118</c:v>
                </c:pt>
                <c:pt idx="14">
                  <c:v>36</c:v>
                </c:pt>
                <c:pt idx="15">
                  <c:v>14</c:v>
                </c:pt>
                <c:pt idx="16">
                  <c:v>7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6-4B4D-BF44-26222E41F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'Monte Carlo'!$H$4</c:f>
              <c:strCache>
                <c:ptCount val="1"/>
                <c:pt idx="0">
                  <c:v>Tích lũy (có rủi ro)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'Monte Carlo'!$H$5:$H$22</c:f>
              <c:numCache>
                <c:formatCode>0%</c:formatCode>
                <c:ptCount val="18"/>
                <c:pt idx="0">
                  <c:v>1E-4</c:v>
                </c:pt>
                <c:pt idx="1">
                  <c:v>1.1999999999999999E-3</c:v>
                </c:pt>
                <c:pt idx="2">
                  <c:v>6.8999999999999999E-3</c:v>
                </c:pt>
                <c:pt idx="3">
                  <c:v>3.6200000000000003E-2</c:v>
                </c:pt>
                <c:pt idx="4">
                  <c:v>0.104</c:v>
                </c:pt>
                <c:pt idx="5">
                  <c:v>0.22739999999999999</c:v>
                </c:pt>
                <c:pt idx="6">
                  <c:v>0.38929999999999998</c:v>
                </c:pt>
                <c:pt idx="7">
                  <c:v>0.5655</c:v>
                </c:pt>
                <c:pt idx="8">
                  <c:v>0.71960000000000002</c:v>
                </c:pt>
                <c:pt idx="9">
                  <c:v>0.83320000000000005</c:v>
                </c:pt>
                <c:pt idx="10">
                  <c:v>0.9133</c:v>
                </c:pt>
                <c:pt idx="11">
                  <c:v>0.95830000000000004</c:v>
                </c:pt>
                <c:pt idx="12">
                  <c:v>0.98229999999999995</c:v>
                </c:pt>
                <c:pt idx="13">
                  <c:v>0.99409999999999998</c:v>
                </c:pt>
                <c:pt idx="14">
                  <c:v>0.99770000000000003</c:v>
                </c:pt>
                <c:pt idx="15">
                  <c:v>0.99909999999999999</c:v>
                </c:pt>
                <c:pt idx="16">
                  <c:v>0.99980000000000002</c:v>
                </c:pt>
                <c:pt idx="1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566-4B4D-BF44-26222E41F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/>
        <c:numFmt formatCode="0%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20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/>
  </sheetViews>
  <sheetFormatPr defaultRowHeight="14.4" x14ac:dyDescent="0.3"/>
  <cols>
    <col min="1" max="1" width="6" customWidth="1"/>
    <col min="2" max="2" width="34" customWidth="1"/>
    <col min="3" max="3" width="11" customWidth="1"/>
    <col min="4" max="6" width="10" customWidth="1"/>
    <col min="7" max="8" width="11" customWidth="1"/>
    <col min="9" max="9" width="12" customWidth="1"/>
  </cols>
  <sheetData>
    <row r="1" spans="1:9" ht="15.6" x14ac:dyDescent="0.3">
      <c r="A1" s="1" t="s">
        <v>0</v>
      </c>
    </row>
    <row r="2" spans="1:9" x14ac:dyDescent="0.3">
      <c r="A2" s="2" t="s">
        <v>1</v>
      </c>
    </row>
    <row r="4" spans="1:9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3">
      <c r="A5" s="4" t="s">
        <v>11</v>
      </c>
      <c r="B5" s="5" t="s">
        <v>12</v>
      </c>
      <c r="C5" s="4" t="s">
        <v>13</v>
      </c>
      <c r="D5" s="6">
        <v>8</v>
      </c>
      <c r="E5" s="6">
        <v>10</v>
      </c>
      <c r="F5" s="6">
        <v>15</v>
      </c>
      <c r="G5" s="7">
        <f t="shared" ref="G5:G16" si="0">(D5+4*E5+F5)/6</f>
        <v>10.5</v>
      </c>
      <c r="H5" s="8">
        <f t="shared" ref="H5:H16" si="1">(F5-D5)/6</f>
        <v>1.1666666666666667</v>
      </c>
      <c r="I5" s="9">
        <v>1</v>
      </c>
    </row>
    <row r="6" spans="1:9" x14ac:dyDescent="0.3">
      <c r="A6" s="4" t="s">
        <v>14</v>
      </c>
      <c r="B6" s="5" t="s">
        <v>15</v>
      </c>
      <c r="C6" s="4" t="s">
        <v>11</v>
      </c>
      <c r="D6" s="6">
        <v>8</v>
      </c>
      <c r="E6" s="6">
        <v>10</v>
      </c>
      <c r="F6" s="6">
        <v>16</v>
      </c>
      <c r="G6" s="7">
        <f t="shared" si="0"/>
        <v>10.666666666666666</v>
      </c>
      <c r="H6" s="8">
        <f t="shared" si="1"/>
        <v>1.3333333333333333</v>
      </c>
      <c r="I6" s="9">
        <v>1</v>
      </c>
    </row>
    <row r="7" spans="1:9" x14ac:dyDescent="0.3">
      <c r="A7" s="4" t="s">
        <v>16</v>
      </c>
      <c r="B7" s="5" t="s">
        <v>17</v>
      </c>
      <c r="C7" s="4" t="s">
        <v>14</v>
      </c>
      <c r="D7" s="6">
        <v>8</v>
      </c>
      <c r="E7" s="6">
        <v>10</v>
      </c>
      <c r="F7" s="6">
        <v>14</v>
      </c>
      <c r="G7" s="7">
        <f t="shared" si="0"/>
        <v>10.333333333333334</v>
      </c>
      <c r="H7" s="8">
        <f t="shared" si="1"/>
        <v>1</v>
      </c>
      <c r="I7" s="9">
        <v>0.99099999999999999</v>
      </c>
    </row>
    <row r="8" spans="1:9" x14ac:dyDescent="0.3">
      <c r="A8" s="4" t="s">
        <v>18</v>
      </c>
      <c r="B8" s="5" t="s">
        <v>19</v>
      </c>
      <c r="C8" s="4" t="s">
        <v>14</v>
      </c>
      <c r="D8" s="6">
        <v>6</v>
      </c>
      <c r="E8" s="6">
        <v>8</v>
      </c>
      <c r="F8" s="6">
        <v>12</v>
      </c>
      <c r="G8" s="7">
        <f t="shared" si="0"/>
        <v>8.3333333333333339</v>
      </c>
      <c r="H8" s="8">
        <f t="shared" si="1"/>
        <v>1</v>
      </c>
      <c r="I8" s="9">
        <v>8.9999999999999993E-3</v>
      </c>
    </row>
    <row r="9" spans="1:9" x14ac:dyDescent="0.3">
      <c r="A9" s="4" t="s">
        <v>20</v>
      </c>
      <c r="B9" s="5" t="s">
        <v>21</v>
      </c>
      <c r="C9" s="4" t="s">
        <v>16</v>
      </c>
      <c r="D9" s="6">
        <v>20</v>
      </c>
      <c r="E9" s="6">
        <v>25</v>
      </c>
      <c r="F9" s="6">
        <v>35</v>
      </c>
      <c r="G9" s="7">
        <f t="shared" si="0"/>
        <v>25.833333333333332</v>
      </c>
      <c r="H9" s="8">
        <f t="shared" si="1"/>
        <v>2.5</v>
      </c>
      <c r="I9" s="9">
        <v>0.99099999999999999</v>
      </c>
    </row>
    <row r="10" spans="1:9" x14ac:dyDescent="0.3">
      <c r="A10" s="4" t="s">
        <v>22</v>
      </c>
      <c r="B10" s="5" t="s">
        <v>23</v>
      </c>
      <c r="C10" s="4" t="s">
        <v>18</v>
      </c>
      <c r="D10" s="6">
        <v>18</v>
      </c>
      <c r="E10" s="6">
        <v>22</v>
      </c>
      <c r="F10" s="6">
        <v>32</v>
      </c>
      <c r="G10" s="7">
        <f t="shared" si="0"/>
        <v>23</v>
      </c>
      <c r="H10" s="8">
        <f t="shared" si="1"/>
        <v>2.3333333333333335</v>
      </c>
      <c r="I10" s="9">
        <v>8.9999999999999993E-3</v>
      </c>
    </row>
    <row r="11" spans="1:9" x14ac:dyDescent="0.3">
      <c r="A11" s="4" t="s">
        <v>24</v>
      </c>
      <c r="B11" s="5" t="s">
        <v>25</v>
      </c>
      <c r="C11" s="4" t="s">
        <v>20</v>
      </c>
      <c r="D11" s="6">
        <v>8</v>
      </c>
      <c r="E11" s="6">
        <v>10</v>
      </c>
      <c r="F11" s="6">
        <v>18</v>
      </c>
      <c r="G11" s="7">
        <f t="shared" si="0"/>
        <v>11</v>
      </c>
      <c r="H11" s="8">
        <f t="shared" si="1"/>
        <v>1.6666666666666667</v>
      </c>
      <c r="I11" s="9">
        <v>0.99099999999999999</v>
      </c>
    </row>
    <row r="12" spans="1:9" x14ac:dyDescent="0.3">
      <c r="A12" s="4" t="s">
        <v>26</v>
      </c>
      <c r="B12" s="5" t="s">
        <v>27</v>
      </c>
      <c r="C12" s="4" t="s">
        <v>28</v>
      </c>
      <c r="D12" s="6">
        <v>10</v>
      </c>
      <c r="E12" s="6">
        <v>12</v>
      </c>
      <c r="F12" s="6">
        <v>18</v>
      </c>
      <c r="G12" s="7">
        <f t="shared" si="0"/>
        <v>12.666666666666666</v>
      </c>
      <c r="H12" s="8">
        <f t="shared" si="1"/>
        <v>1.3333333333333333</v>
      </c>
      <c r="I12" s="9">
        <v>1</v>
      </c>
    </row>
    <row r="13" spans="1:9" x14ac:dyDescent="0.3">
      <c r="A13" s="4" t="s">
        <v>29</v>
      </c>
      <c r="B13" s="5" t="s">
        <v>30</v>
      </c>
      <c r="C13" s="4" t="s">
        <v>26</v>
      </c>
      <c r="D13" s="6">
        <v>5</v>
      </c>
      <c r="E13" s="6">
        <v>6</v>
      </c>
      <c r="F13" s="6">
        <v>10</v>
      </c>
      <c r="G13" s="7">
        <f t="shared" si="0"/>
        <v>6.5</v>
      </c>
      <c r="H13" s="8">
        <f t="shared" si="1"/>
        <v>0.83333333333333337</v>
      </c>
      <c r="I13" s="9">
        <v>1</v>
      </c>
    </row>
    <row r="14" spans="1:9" x14ac:dyDescent="0.3">
      <c r="A14" s="4" t="s">
        <v>31</v>
      </c>
      <c r="B14" s="5" t="s">
        <v>32</v>
      </c>
      <c r="C14" s="4" t="s">
        <v>29</v>
      </c>
      <c r="D14" s="6">
        <v>3</v>
      </c>
      <c r="E14" s="6">
        <v>4</v>
      </c>
      <c r="F14" s="6">
        <v>6</v>
      </c>
      <c r="G14" s="7">
        <f t="shared" si="0"/>
        <v>4.166666666666667</v>
      </c>
      <c r="H14" s="8">
        <f t="shared" si="1"/>
        <v>0.5</v>
      </c>
      <c r="I14" s="9">
        <v>1</v>
      </c>
    </row>
    <row r="15" spans="1:9" x14ac:dyDescent="0.3">
      <c r="A15" s="4" t="s">
        <v>33</v>
      </c>
      <c r="B15" s="5" t="s">
        <v>34</v>
      </c>
      <c r="C15" s="4" t="s">
        <v>24</v>
      </c>
      <c r="D15" s="6">
        <v>5</v>
      </c>
      <c r="E15" s="6">
        <v>6</v>
      </c>
      <c r="F15" s="6">
        <v>10</v>
      </c>
      <c r="G15" s="7">
        <f t="shared" si="0"/>
        <v>6.5</v>
      </c>
      <c r="H15" s="8">
        <f t="shared" si="1"/>
        <v>0.83333333333333337</v>
      </c>
      <c r="I15" s="9">
        <v>0</v>
      </c>
    </row>
    <row r="16" spans="1:9" x14ac:dyDescent="0.3">
      <c r="A16" s="4" t="s">
        <v>35</v>
      </c>
      <c r="B16" s="5" t="s">
        <v>36</v>
      </c>
      <c r="C16" s="4" t="s">
        <v>37</v>
      </c>
      <c r="D16" s="6">
        <v>2</v>
      </c>
      <c r="E16" s="6">
        <v>3</v>
      </c>
      <c r="F16" s="6">
        <v>5</v>
      </c>
      <c r="G16" s="7">
        <f t="shared" si="0"/>
        <v>3.1666666666666665</v>
      </c>
      <c r="H16" s="8">
        <f t="shared" si="1"/>
        <v>0.5</v>
      </c>
      <c r="I16" s="9">
        <v>1</v>
      </c>
    </row>
    <row r="18" spans="2:3" x14ac:dyDescent="0.3">
      <c r="B18" s="10" t="s">
        <v>38</v>
      </c>
      <c r="C18" t="s">
        <v>39</v>
      </c>
    </row>
    <row r="19" spans="2:3" x14ac:dyDescent="0.3">
      <c r="B19" s="10" t="s">
        <v>40</v>
      </c>
      <c r="C19">
        <f>E5+E6+E7+E9+E11+E12+E13+E14+E16</f>
        <v>90</v>
      </c>
    </row>
    <row r="20" spans="2:3" x14ac:dyDescent="0.3">
      <c r="B20" s="10" t="s">
        <v>41</v>
      </c>
      <c r="C20" s="11">
        <f>G5+G6+G7+G9+G11+G12+G13+G14+G16</f>
        <v>94.833333333333343</v>
      </c>
    </row>
    <row r="21" spans="2:3" x14ac:dyDescent="0.3">
      <c r="B21" s="10" t="s">
        <v>42</v>
      </c>
      <c r="C21" s="11">
        <f>SQRT(H5^2+H6^2+H7^2+H9^2+H11^2+H12^2+H13^2+H14^2+H16^2)</f>
        <v>4.0173235977313171</v>
      </c>
    </row>
    <row r="22" spans="2:3" x14ac:dyDescent="0.3">
      <c r="B22" s="2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"/>
  <sheetViews>
    <sheetView workbookViewId="0"/>
  </sheetViews>
  <sheetFormatPr defaultRowHeight="14.4" x14ac:dyDescent="0.3"/>
  <cols>
    <col min="1" max="1" width="6" customWidth="1"/>
    <col min="2" max="2" width="7" customWidth="1"/>
    <col min="3" max="4" width="34" customWidth="1"/>
    <col min="5" max="5" width="9" customWidth="1"/>
    <col min="6" max="8" width="8" customWidth="1"/>
    <col min="9" max="9" width="9" customWidth="1"/>
    <col min="10" max="12" width="7" customWidth="1"/>
    <col min="13" max="13" width="8" customWidth="1"/>
    <col min="14" max="14" width="10" customWidth="1"/>
    <col min="15" max="15" width="11" customWidth="1"/>
    <col min="16" max="16" width="12" customWidth="1"/>
  </cols>
  <sheetData>
    <row r="1" spans="1:16" ht="15.6" x14ac:dyDescent="0.3">
      <c r="A1" s="1" t="s">
        <v>44</v>
      </c>
    </row>
    <row r="2" spans="1:16" x14ac:dyDescent="0.3">
      <c r="A2" s="2" t="s">
        <v>45</v>
      </c>
    </row>
    <row r="4" spans="1:16" ht="30" customHeight="1" x14ac:dyDescent="0.3">
      <c r="A4" s="3" t="s">
        <v>2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12" t="s">
        <v>60</v>
      </c>
    </row>
    <row r="5" spans="1:16" ht="26.4" x14ac:dyDescent="0.3">
      <c r="A5" s="4" t="s">
        <v>61</v>
      </c>
      <c r="B5" s="4" t="s">
        <v>62</v>
      </c>
      <c r="C5" s="5" t="s">
        <v>63</v>
      </c>
      <c r="D5" s="5" t="s">
        <v>64</v>
      </c>
      <c r="E5" s="13">
        <v>0.4</v>
      </c>
      <c r="F5" s="6">
        <v>5</v>
      </c>
      <c r="G5" s="6">
        <v>15</v>
      </c>
      <c r="H5" s="7">
        <f t="shared" ref="H5:H16" si="0">(F5+G5)/2</f>
        <v>10</v>
      </c>
      <c r="I5" s="7">
        <f t="shared" ref="I5:I16" si="1">E5*H5</f>
        <v>4</v>
      </c>
      <c r="J5" s="4">
        <f t="shared" ref="J5:J16" si="2">IF(E5&lt;0.1,1,IF(E5&lt;0.2,2,IF(E5&lt;0.3,3,IF(E5&lt;0.4,4,5))))</f>
        <v>5</v>
      </c>
      <c r="K5" s="4">
        <f t="shared" ref="K5:K16" si="3">IF(H5&lt;3,1,IF(H5&lt;5,2,IF(H5&lt;7,3,IF(H5&lt;10,4,5))))</f>
        <v>5</v>
      </c>
      <c r="L5" s="14">
        <f t="shared" ref="L5:L16" si="4">J5*K5</f>
        <v>25</v>
      </c>
      <c r="M5" s="4" t="str">
        <f t="shared" ref="M5:M16" si="5">IF(L5&gt;=15,"Đỏ",IF(L5&gt;=8,"Vàng","Xanh"))</f>
        <v>Đỏ</v>
      </c>
      <c r="N5" s="4" t="s">
        <v>20</v>
      </c>
      <c r="O5" s="7">
        <v>9.7100000000000009</v>
      </c>
      <c r="P5" s="15">
        <f t="shared" ref="P5:P16" si="6">E5*O5</f>
        <v>3.8840000000000003</v>
      </c>
    </row>
    <row r="6" spans="1:16" ht="26.4" x14ac:dyDescent="0.3">
      <c r="A6" s="4" t="s">
        <v>65</v>
      </c>
      <c r="B6" s="4" t="s">
        <v>62</v>
      </c>
      <c r="C6" s="5" t="s">
        <v>66</v>
      </c>
      <c r="D6" s="5" t="s">
        <v>67</v>
      </c>
      <c r="E6" s="13">
        <v>0.35</v>
      </c>
      <c r="F6" s="6">
        <v>3</v>
      </c>
      <c r="G6" s="6">
        <v>8</v>
      </c>
      <c r="H6" s="7">
        <f t="shared" si="0"/>
        <v>5.5</v>
      </c>
      <c r="I6" s="7">
        <f t="shared" si="1"/>
        <v>1.9249999999999998</v>
      </c>
      <c r="J6" s="4">
        <f t="shared" si="2"/>
        <v>4</v>
      </c>
      <c r="K6" s="4">
        <f t="shared" si="3"/>
        <v>3</v>
      </c>
      <c r="L6" s="14">
        <f t="shared" si="4"/>
        <v>12</v>
      </c>
      <c r="M6" s="4" t="str">
        <f t="shared" si="5"/>
        <v>Vàng</v>
      </c>
      <c r="N6" s="4" t="s">
        <v>29</v>
      </c>
      <c r="O6" s="7">
        <v>4.9800000000000004</v>
      </c>
      <c r="P6" s="15">
        <f t="shared" si="6"/>
        <v>1.7430000000000001</v>
      </c>
    </row>
    <row r="7" spans="1:16" ht="26.4" x14ac:dyDescent="0.3">
      <c r="A7" s="4" t="s">
        <v>68</v>
      </c>
      <c r="B7" s="4" t="s">
        <v>69</v>
      </c>
      <c r="C7" s="5" t="s">
        <v>70</v>
      </c>
      <c r="D7" s="5" t="s">
        <v>71</v>
      </c>
      <c r="E7" s="13">
        <v>0.3</v>
      </c>
      <c r="F7" s="6">
        <v>5</v>
      </c>
      <c r="G7" s="6">
        <v>12</v>
      </c>
      <c r="H7" s="7">
        <f t="shared" si="0"/>
        <v>8.5</v>
      </c>
      <c r="I7" s="7">
        <f t="shared" si="1"/>
        <v>2.5499999999999998</v>
      </c>
      <c r="J7" s="4">
        <f t="shared" si="2"/>
        <v>4</v>
      </c>
      <c r="K7" s="4">
        <f t="shared" si="3"/>
        <v>4</v>
      </c>
      <c r="L7" s="14">
        <f t="shared" si="4"/>
        <v>16</v>
      </c>
      <c r="M7" s="4" t="str">
        <f t="shared" si="5"/>
        <v>Đỏ</v>
      </c>
      <c r="N7" s="4" t="s">
        <v>20</v>
      </c>
      <c r="O7" s="7">
        <v>7.99</v>
      </c>
      <c r="P7" s="15">
        <f t="shared" si="6"/>
        <v>2.3969999999999998</v>
      </c>
    </row>
    <row r="8" spans="1:16" ht="26.4" x14ac:dyDescent="0.3">
      <c r="A8" s="4" t="s">
        <v>72</v>
      </c>
      <c r="B8" s="4" t="s">
        <v>73</v>
      </c>
      <c r="C8" s="5" t="s">
        <v>74</v>
      </c>
      <c r="D8" s="5" t="s">
        <v>75</v>
      </c>
      <c r="E8" s="13">
        <v>0.35</v>
      </c>
      <c r="F8" s="6">
        <v>4</v>
      </c>
      <c r="G8" s="6">
        <v>10</v>
      </c>
      <c r="H8" s="7">
        <f t="shared" si="0"/>
        <v>7</v>
      </c>
      <c r="I8" s="7">
        <f t="shared" si="1"/>
        <v>2.4499999999999997</v>
      </c>
      <c r="J8" s="4">
        <f t="shared" si="2"/>
        <v>4</v>
      </c>
      <c r="K8" s="4">
        <f t="shared" si="3"/>
        <v>4</v>
      </c>
      <c r="L8" s="14">
        <f t="shared" si="4"/>
        <v>16</v>
      </c>
      <c r="M8" s="4" t="str">
        <f t="shared" si="5"/>
        <v>Đỏ</v>
      </c>
      <c r="N8" s="4" t="s">
        <v>22</v>
      </c>
      <c r="O8" s="7">
        <v>0.33</v>
      </c>
      <c r="P8" s="15">
        <f t="shared" si="6"/>
        <v>0.11549999999999999</v>
      </c>
    </row>
    <row r="9" spans="1:16" ht="26.4" x14ac:dyDescent="0.3">
      <c r="A9" s="4" t="s">
        <v>76</v>
      </c>
      <c r="B9" s="4" t="s">
        <v>77</v>
      </c>
      <c r="C9" s="5" t="s">
        <v>78</v>
      </c>
      <c r="D9" s="5" t="s">
        <v>79</v>
      </c>
      <c r="E9" s="13">
        <v>0.2</v>
      </c>
      <c r="F9" s="6">
        <v>3</v>
      </c>
      <c r="G9" s="6">
        <v>10</v>
      </c>
      <c r="H9" s="7">
        <f t="shared" si="0"/>
        <v>6.5</v>
      </c>
      <c r="I9" s="7">
        <f t="shared" si="1"/>
        <v>1.3</v>
      </c>
      <c r="J9" s="4">
        <f t="shared" si="2"/>
        <v>3</v>
      </c>
      <c r="K9" s="4">
        <f t="shared" si="3"/>
        <v>3</v>
      </c>
      <c r="L9" s="14">
        <f t="shared" si="4"/>
        <v>9</v>
      </c>
      <c r="M9" s="4" t="str">
        <f t="shared" si="5"/>
        <v>Vàng</v>
      </c>
      <c r="N9" s="4" t="s">
        <v>14</v>
      </c>
      <c r="O9" s="7">
        <v>6.92</v>
      </c>
      <c r="P9" s="15">
        <f t="shared" si="6"/>
        <v>1.3840000000000001</v>
      </c>
    </row>
    <row r="10" spans="1:16" ht="26.4" x14ac:dyDescent="0.3">
      <c r="A10" s="4" t="s">
        <v>80</v>
      </c>
      <c r="B10" s="4" t="s">
        <v>81</v>
      </c>
      <c r="C10" s="5" t="s">
        <v>82</v>
      </c>
      <c r="D10" s="5" t="s">
        <v>13</v>
      </c>
      <c r="E10" s="13">
        <v>0.25</v>
      </c>
      <c r="F10" s="6">
        <v>5</v>
      </c>
      <c r="G10" s="6">
        <v>10</v>
      </c>
      <c r="H10" s="7">
        <f t="shared" si="0"/>
        <v>7.5</v>
      </c>
      <c r="I10" s="7">
        <f t="shared" si="1"/>
        <v>1.875</v>
      </c>
      <c r="J10" s="4">
        <f t="shared" si="2"/>
        <v>3</v>
      </c>
      <c r="K10" s="4">
        <f t="shared" si="3"/>
        <v>4</v>
      </c>
      <c r="L10" s="14">
        <f t="shared" si="4"/>
        <v>12</v>
      </c>
      <c r="M10" s="4" t="str">
        <f t="shared" si="5"/>
        <v>Vàng</v>
      </c>
      <c r="N10" s="4" t="s">
        <v>22</v>
      </c>
      <c r="O10" s="7">
        <v>0.45</v>
      </c>
      <c r="P10" s="15">
        <f t="shared" si="6"/>
        <v>0.1125</v>
      </c>
    </row>
    <row r="11" spans="1:16" ht="26.4" x14ac:dyDescent="0.3">
      <c r="A11" s="4" t="s">
        <v>83</v>
      </c>
      <c r="B11" s="4" t="s">
        <v>84</v>
      </c>
      <c r="C11" s="5" t="s">
        <v>85</v>
      </c>
      <c r="D11" s="5" t="s">
        <v>86</v>
      </c>
      <c r="E11" s="13">
        <v>0.3</v>
      </c>
      <c r="F11" s="6">
        <v>3</v>
      </c>
      <c r="G11" s="6">
        <v>8</v>
      </c>
      <c r="H11" s="7">
        <f t="shared" si="0"/>
        <v>5.5</v>
      </c>
      <c r="I11" s="7">
        <f t="shared" si="1"/>
        <v>1.65</v>
      </c>
      <c r="J11" s="4">
        <f t="shared" si="2"/>
        <v>4</v>
      </c>
      <c r="K11" s="4">
        <f t="shared" si="3"/>
        <v>3</v>
      </c>
      <c r="L11" s="14">
        <f t="shared" si="4"/>
        <v>12</v>
      </c>
      <c r="M11" s="4" t="str">
        <f t="shared" si="5"/>
        <v>Vàng</v>
      </c>
      <c r="N11" s="4" t="s">
        <v>26</v>
      </c>
      <c r="O11" s="7">
        <v>5.29</v>
      </c>
      <c r="P11" s="15">
        <f t="shared" si="6"/>
        <v>1.587</v>
      </c>
    </row>
    <row r="12" spans="1:16" ht="26.4" x14ac:dyDescent="0.3">
      <c r="A12" s="4" t="s">
        <v>87</v>
      </c>
      <c r="B12" s="4" t="s">
        <v>88</v>
      </c>
      <c r="C12" s="5" t="s">
        <v>89</v>
      </c>
      <c r="D12" s="5" t="s">
        <v>13</v>
      </c>
      <c r="E12" s="13">
        <v>0.15</v>
      </c>
      <c r="F12" s="6">
        <v>5</v>
      </c>
      <c r="G12" s="6">
        <v>10</v>
      </c>
      <c r="H12" s="7">
        <f t="shared" si="0"/>
        <v>7.5</v>
      </c>
      <c r="I12" s="7">
        <f t="shared" si="1"/>
        <v>1.125</v>
      </c>
      <c r="J12" s="4">
        <f t="shared" si="2"/>
        <v>2</v>
      </c>
      <c r="K12" s="4">
        <f t="shared" si="3"/>
        <v>4</v>
      </c>
      <c r="L12" s="14">
        <f t="shared" si="4"/>
        <v>8</v>
      </c>
      <c r="M12" s="4" t="str">
        <f t="shared" si="5"/>
        <v>Vàng</v>
      </c>
      <c r="N12" s="4" t="s">
        <v>16</v>
      </c>
      <c r="O12" s="7">
        <v>6.94</v>
      </c>
      <c r="P12" s="15">
        <f t="shared" si="6"/>
        <v>1.0409999999999999</v>
      </c>
    </row>
    <row r="13" spans="1:16" ht="26.4" x14ac:dyDescent="0.3">
      <c r="A13" s="4" t="s">
        <v>90</v>
      </c>
      <c r="B13" s="4" t="s">
        <v>91</v>
      </c>
      <c r="C13" s="5" t="s">
        <v>92</v>
      </c>
      <c r="D13" s="5" t="s">
        <v>13</v>
      </c>
      <c r="E13" s="13">
        <v>0.3</v>
      </c>
      <c r="F13" s="6">
        <v>2</v>
      </c>
      <c r="G13" s="6">
        <v>5</v>
      </c>
      <c r="H13" s="7">
        <f t="shared" si="0"/>
        <v>3.5</v>
      </c>
      <c r="I13" s="7">
        <f t="shared" si="1"/>
        <v>1.05</v>
      </c>
      <c r="J13" s="4">
        <f t="shared" si="2"/>
        <v>4</v>
      </c>
      <c r="K13" s="4">
        <f t="shared" si="3"/>
        <v>2</v>
      </c>
      <c r="L13" s="14">
        <f t="shared" si="4"/>
        <v>8</v>
      </c>
      <c r="M13" s="4" t="str">
        <f t="shared" si="5"/>
        <v>Vàng</v>
      </c>
      <c r="N13" s="4" t="s">
        <v>31</v>
      </c>
      <c r="O13" s="7">
        <v>3.6</v>
      </c>
      <c r="P13" s="15">
        <f t="shared" si="6"/>
        <v>1.08</v>
      </c>
    </row>
    <row r="14" spans="1:16" ht="26.4" x14ac:dyDescent="0.3">
      <c r="A14" s="4" t="s">
        <v>93</v>
      </c>
      <c r="B14" s="4" t="s">
        <v>94</v>
      </c>
      <c r="C14" s="5" t="s">
        <v>95</v>
      </c>
      <c r="D14" s="5" t="s">
        <v>96</v>
      </c>
      <c r="E14" s="13">
        <v>0.25</v>
      </c>
      <c r="F14" s="6">
        <v>4</v>
      </c>
      <c r="G14" s="6">
        <v>10</v>
      </c>
      <c r="H14" s="7">
        <f t="shared" si="0"/>
        <v>7</v>
      </c>
      <c r="I14" s="7">
        <f t="shared" si="1"/>
        <v>1.75</v>
      </c>
      <c r="J14" s="4">
        <f t="shared" si="2"/>
        <v>3</v>
      </c>
      <c r="K14" s="4">
        <f t="shared" si="3"/>
        <v>4</v>
      </c>
      <c r="L14" s="14">
        <f t="shared" si="4"/>
        <v>12</v>
      </c>
      <c r="M14" s="4" t="str">
        <f t="shared" si="5"/>
        <v>Vàng</v>
      </c>
      <c r="N14" s="4" t="s">
        <v>26</v>
      </c>
      <c r="O14" s="7">
        <v>6.7</v>
      </c>
      <c r="P14" s="15">
        <f t="shared" si="6"/>
        <v>1.675</v>
      </c>
    </row>
    <row r="15" spans="1:16" ht="26.4" x14ac:dyDescent="0.3">
      <c r="A15" s="4" t="s">
        <v>97</v>
      </c>
      <c r="B15" s="4" t="s">
        <v>84</v>
      </c>
      <c r="C15" s="5" t="s">
        <v>98</v>
      </c>
      <c r="D15" s="5" t="s">
        <v>99</v>
      </c>
      <c r="E15" s="13">
        <v>0.4</v>
      </c>
      <c r="F15" s="6">
        <v>4</v>
      </c>
      <c r="G15" s="6">
        <v>12</v>
      </c>
      <c r="H15" s="7">
        <f t="shared" si="0"/>
        <v>8</v>
      </c>
      <c r="I15" s="7">
        <f t="shared" si="1"/>
        <v>3.2</v>
      </c>
      <c r="J15" s="4">
        <f t="shared" si="2"/>
        <v>5</v>
      </c>
      <c r="K15" s="4">
        <f t="shared" si="3"/>
        <v>4</v>
      </c>
      <c r="L15" s="14">
        <f t="shared" si="4"/>
        <v>20</v>
      </c>
      <c r="M15" s="4" t="str">
        <f t="shared" si="5"/>
        <v>Đỏ</v>
      </c>
      <c r="N15" s="4" t="s">
        <v>24</v>
      </c>
      <c r="O15" s="7">
        <v>7.56</v>
      </c>
      <c r="P15" s="15">
        <f t="shared" si="6"/>
        <v>3.024</v>
      </c>
    </row>
    <row r="16" spans="1:16" x14ac:dyDescent="0.3">
      <c r="A16" s="4" t="s">
        <v>100</v>
      </c>
      <c r="B16" s="4" t="s">
        <v>101</v>
      </c>
      <c r="C16" s="5" t="s">
        <v>102</v>
      </c>
      <c r="D16" s="5" t="s">
        <v>13</v>
      </c>
      <c r="E16" s="13">
        <v>0.05</v>
      </c>
      <c r="F16" s="6">
        <v>5</v>
      </c>
      <c r="G16" s="6">
        <v>15</v>
      </c>
      <c r="H16" s="7">
        <f t="shared" si="0"/>
        <v>10</v>
      </c>
      <c r="I16" s="7">
        <f t="shared" si="1"/>
        <v>0.5</v>
      </c>
      <c r="J16" s="4">
        <f t="shared" si="2"/>
        <v>1</v>
      </c>
      <c r="K16" s="4">
        <f t="shared" si="3"/>
        <v>5</v>
      </c>
      <c r="L16" s="14">
        <f t="shared" si="4"/>
        <v>5</v>
      </c>
      <c r="M16" s="4" t="str">
        <f t="shared" si="5"/>
        <v>Xanh</v>
      </c>
      <c r="N16" s="4" t="s">
        <v>35</v>
      </c>
      <c r="O16" s="7">
        <v>9.84</v>
      </c>
      <c r="P16" s="15">
        <f t="shared" si="6"/>
        <v>0.49199999999999999</v>
      </c>
    </row>
    <row r="18" spans="3:9" ht="26.4" x14ac:dyDescent="0.3">
      <c r="C18" s="16" t="s">
        <v>103</v>
      </c>
      <c r="I18" s="17">
        <f>SUM(I5:I16)</f>
        <v>23.375</v>
      </c>
    </row>
  </sheetData>
  <conditionalFormatting sqref="M5:M16">
    <cfRule type="cellIs" dxfId="2" priority="1" operator="equal">
      <formula>"Đỏ"</formula>
    </cfRule>
    <cfRule type="cellIs" dxfId="1" priority="2" operator="equal">
      <formula>"Vàng"</formula>
    </cfRule>
    <cfRule type="cellIs" dxfId="0" priority="3" operator="equal">
      <formula>"Xanh"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/>
  </sheetViews>
  <sheetFormatPr defaultRowHeight="14.4" x14ac:dyDescent="0.3"/>
  <cols>
    <col min="1" max="1" width="34" customWidth="1"/>
    <col min="2" max="3" width="16" customWidth="1"/>
    <col min="5" max="5" width="10" customWidth="1"/>
    <col min="6" max="8" width="14" customWidth="1"/>
  </cols>
  <sheetData>
    <row r="1" spans="1:8" ht="15.6" x14ac:dyDescent="0.3">
      <c r="A1" s="1" t="s">
        <v>104</v>
      </c>
    </row>
    <row r="2" spans="1:8" x14ac:dyDescent="0.3">
      <c r="A2" s="2" t="s">
        <v>105</v>
      </c>
    </row>
    <row r="4" spans="1:8" ht="30" customHeight="1" x14ac:dyDescent="0.3">
      <c r="A4" s="3" t="s">
        <v>106</v>
      </c>
      <c r="B4" s="3" t="s">
        <v>107</v>
      </c>
      <c r="C4" s="3" t="s">
        <v>108</v>
      </c>
      <c r="E4" s="12" t="s">
        <v>109</v>
      </c>
      <c r="F4" s="12" t="s">
        <v>110</v>
      </c>
      <c r="G4" s="12" t="s">
        <v>111</v>
      </c>
      <c r="H4" s="12" t="s">
        <v>112</v>
      </c>
    </row>
    <row r="5" spans="1:8" x14ac:dyDescent="0.3">
      <c r="A5" s="5" t="s">
        <v>113</v>
      </c>
      <c r="B5" s="7">
        <v>99.608999999999995</v>
      </c>
      <c r="C5" s="7">
        <v>118.855</v>
      </c>
      <c r="E5" s="4">
        <v>85</v>
      </c>
      <c r="F5" s="4">
        <v>10</v>
      </c>
      <c r="G5" s="4">
        <v>1</v>
      </c>
      <c r="H5" s="9">
        <f>SUM($G$5:G5)/SUM($G$5:$G$22)</f>
        <v>1E-4</v>
      </c>
    </row>
    <row r="6" spans="1:8" x14ac:dyDescent="0.3">
      <c r="A6" s="5" t="s">
        <v>114</v>
      </c>
      <c r="B6" s="7">
        <v>5.085</v>
      </c>
      <c r="C6" s="7">
        <v>11.391</v>
      </c>
      <c r="E6" s="4">
        <v>90</v>
      </c>
      <c r="F6" s="4">
        <v>216</v>
      </c>
      <c r="G6" s="4">
        <v>11</v>
      </c>
      <c r="H6" s="9">
        <f>SUM($G$5:G6)/SUM($G$5:$G$22)</f>
        <v>1.1999999999999999E-3</v>
      </c>
    </row>
    <row r="7" spans="1:8" x14ac:dyDescent="0.3">
      <c r="A7" s="5" t="s">
        <v>115</v>
      </c>
      <c r="B7" s="7">
        <v>99.492000000000004</v>
      </c>
      <c r="C7" s="7">
        <v>118.215</v>
      </c>
      <c r="E7" s="4">
        <v>95</v>
      </c>
      <c r="F7" s="4">
        <v>1644</v>
      </c>
      <c r="G7" s="4">
        <v>57</v>
      </c>
      <c r="H7" s="9">
        <f>SUM($G$5:G7)/SUM($G$5:$G$22)</f>
        <v>6.8999999999999999E-3</v>
      </c>
    </row>
    <row r="8" spans="1:8" x14ac:dyDescent="0.3">
      <c r="A8" s="5" t="s">
        <v>116</v>
      </c>
      <c r="B8" s="7">
        <v>103.907</v>
      </c>
      <c r="C8" s="7">
        <v>128.22399999999999</v>
      </c>
      <c r="E8" s="4">
        <v>100</v>
      </c>
      <c r="F8" s="4">
        <v>3528</v>
      </c>
      <c r="G8" s="4">
        <v>293</v>
      </c>
      <c r="H8" s="9">
        <f>SUM($G$5:G8)/SUM($G$5:$G$22)</f>
        <v>3.6200000000000003E-2</v>
      </c>
    </row>
    <row r="9" spans="1:8" x14ac:dyDescent="0.3">
      <c r="A9" s="5" t="s">
        <v>117</v>
      </c>
      <c r="B9" s="7">
        <v>106.18600000000001</v>
      </c>
      <c r="C9" s="7">
        <v>134.10900000000001</v>
      </c>
      <c r="E9" s="4">
        <v>105</v>
      </c>
      <c r="F9" s="4">
        <v>3130</v>
      </c>
      <c r="G9" s="4">
        <v>678</v>
      </c>
      <c r="H9" s="9">
        <f>SUM($G$5:G9)/SUM($G$5:$G$22)</f>
        <v>0.104</v>
      </c>
    </row>
    <row r="10" spans="1:8" x14ac:dyDescent="0.3">
      <c r="A10" s="5" t="s">
        <v>118</v>
      </c>
      <c r="B10" s="9">
        <v>0.187</v>
      </c>
      <c r="C10" s="9">
        <v>7.0000000000000001E-3</v>
      </c>
      <c r="E10" s="4">
        <v>110</v>
      </c>
      <c r="F10" s="4">
        <v>1237</v>
      </c>
      <c r="G10" s="4">
        <v>1234</v>
      </c>
      <c r="H10" s="9">
        <f>SUM($G$5:G10)/SUM($G$5:$G$22)</f>
        <v>0.22739999999999999</v>
      </c>
    </row>
    <row r="11" spans="1:8" x14ac:dyDescent="0.3">
      <c r="E11" s="4">
        <v>115</v>
      </c>
      <c r="F11" s="4">
        <v>219</v>
      </c>
      <c r="G11" s="4">
        <v>1619</v>
      </c>
      <c r="H11" s="9">
        <f>SUM($G$5:G11)/SUM($G$5:$G$22)</f>
        <v>0.38929999999999998</v>
      </c>
    </row>
    <row r="12" spans="1:8" ht="26.4" x14ac:dyDescent="0.3">
      <c r="A12" s="16" t="s">
        <v>119</v>
      </c>
      <c r="C12" s="17">
        <f>C8-'Lịch trình'!C19</f>
        <v>38.22399999999999</v>
      </c>
      <c r="E12" s="4">
        <v>120</v>
      </c>
      <c r="F12" s="4">
        <v>15</v>
      </c>
      <c r="G12" s="4">
        <v>1762</v>
      </c>
      <c r="H12" s="9">
        <f>SUM($G$5:G12)/SUM($G$5:$G$22)</f>
        <v>0.5655</v>
      </c>
    </row>
    <row r="13" spans="1:8" x14ac:dyDescent="0.3">
      <c r="E13" s="4">
        <v>125</v>
      </c>
      <c r="F13" s="4">
        <v>1</v>
      </c>
      <c r="G13" s="4">
        <v>1541</v>
      </c>
      <c r="H13" s="9">
        <f>SUM($G$5:G13)/SUM($G$5:$G$22)</f>
        <v>0.71960000000000002</v>
      </c>
    </row>
    <row r="14" spans="1:8" x14ac:dyDescent="0.3">
      <c r="E14" s="4">
        <v>130</v>
      </c>
      <c r="F14" s="4">
        <v>0</v>
      </c>
      <c r="G14" s="4">
        <v>1136</v>
      </c>
      <c r="H14" s="9">
        <f>SUM($G$5:G14)/SUM($G$5:$G$22)</f>
        <v>0.83320000000000005</v>
      </c>
    </row>
    <row r="15" spans="1:8" x14ac:dyDescent="0.3">
      <c r="E15" s="4">
        <v>135</v>
      </c>
      <c r="F15" s="4">
        <v>0</v>
      </c>
      <c r="G15" s="4">
        <v>801</v>
      </c>
      <c r="H15" s="9">
        <f>SUM($G$5:G15)/SUM($G$5:$G$22)</f>
        <v>0.9133</v>
      </c>
    </row>
    <row r="16" spans="1:8" x14ac:dyDescent="0.3">
      <c r="E16" s="4">
        <v>140</v>
      </c>
      <c r="F16" s="4">
        <v>0</v>
      </c>
      <c r="G16" s="4">
        <v>450</v>
      </c>
      <c r="H16" s="9">
        <f>SUM($G$5:G16)/SUM($G$5:$G$22)</f>
        <v>0.95830000000000004</v>
      </c>
    </row>
    <row r="17" spans="5:8" x14ac:dyDescent="0.3">
      <c r="E17" s="4">
        <v>145</v>
      </c>
      <c r="F17" s="4">
        <v>0</v>
      </c>
      <c r="G17" s="4">
        <v>240</v>
      </c>
      <c r="H17" s="9">
        <f>SUM($G$5:G17)/SUM($G$5:$G$22)</f>
        <v>0.98229999999999995</v>
      </c>
    </row>
    <row r="18" spans="5:8" x14ac:dyDescent="0.3">
      <c r="E18" s="4">
        <v>150</v>
      </c>
      <c r="F18" s="4">
        <v>0</v>
      </c>
      <c r="G18" s="4">
        <v>118</v>
      </c>
      <c r="H18" s="9">
        <f>SUM($G$5:G18)/SUM($G$5:$G$22)</f>
        <v>0.99409999999999998</v>
      </c>
    </row>
    <row r="19" spans="5:8" x14ac:dyDescent="0.3">
      <c r="E19" s="4">
        <v>155</v>
      </c>
      <c r="F19" s="4">
        <v>0</v>
      </c>
      <c r="G19" s="4">
        <v>36</v>
      </c>
      <c r="H19" s="9">
        <f>SUM($G$5:G19)/SUM($G$5:$G$22)</f>
        <v>0.99770000000000003</v>
      </c>
    </row>
    <row r="20" spans="5:8" x14ac:dyDescent="0.3">
      <c r="E20" s="4">
        <v>160</v>
      </c>
      <c r="F20" s="4">
        <v>0</v>
      </c>
      <c r="G20" s="4">
        <v>14</v>
      </c>
      <c r="H20" s="9">
        <f>SUM($G$5:G20)/SUM($G$5:$G$22)</f>
        <v>0.99909999999999999</v>
      </c>
    </row>
    <row r="21" spans="5:8" x14ac:dyDescent="0.3">
      <c r="E21" s="4">
        <v>165</v>
      </c>
      <c r="F21" s="4">
        <v>0</v>
      </c>
      <c r="G21" s="4">
        <v>7</v>
      </c>
      <c r="H21" s="9">
        <f>SUM($G$5:G21)/SUM($G$5:$G$22)</f>
        <v>0.99980000000000002</v>
      </c>
    </row>
    <row r="22" spans="5:8" x14ac:dyDescent="0.3">
      <c r="E22" s="4">
        <v>170</v>
      </c>
      <c r="F22" s="4">
        <v>0</v>
      </c>
      <c r="G22" s="4">
        <v>2</v>
      </c>
      <c r="H22" s="9">
        <f>SUM($G$5:G22)/SUM($G$5:$G$22)</f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Lịch trình</vt:lpstr>
      <vt:lpstr>Sổ rủi ro</vt:lpstr>
      <vt:lpstr>Monte Carlo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Đàm Dũng</cp:lastModifiedBy>
  <dcterms:created xsi:type="dcterms:W3CDTF">2026-10-26T08:42:39Z</dcterms:created>
  <dcterms:modified xsi:type="dcterms:W3CDTF">2026-10-26T08:42:55Z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2026-10-26T08:42:55Z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d44c6ba8-8a08-4456-a08e-a8d4f028be68</vt:lpwstr>
  </property>
  <property fmtid="{D5CDD505-2E9C-101B-9397-08002B2CF9AE}" pid="7" name="MSIP_Label_defa4170-0d19-0005-0004-bc88714345d2_ActionId">
    <vt:lpwstr>cf512272-b8ff-432c-97ef-e3410e80a26a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