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Esclipe_Web\Quan ly du an HTTT\quan-ly-du-an\"/>
    </mc:Choice>
  </mc:AlternateContent>
  <xr:revisionPtr revIDLastSave="0" documentId="13_ncr:1_{A3655C91-85D1-47BB-B424-8247AAD608DD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WBS" sheetId="1" r:id="rId1"/>
    <sheet name="Gantt" sheetId="2" r:id="rId2"/>
    <sheet name="Rủi ro" sheetId="3" r:id="rId3"/>
    <sheet name="Barem" sheetId="4" r:id="rId4"/>
    <sheet name="Nhật ký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D6" i="5"/>
  <c r="D5" i="5"/>
  <c r="D4" i="5"/>
  <c r="B10" i="4"/>
  <c r="D9" i="4"/>
  <c r="D8" i="4"/>
  <c r="D7" i="4"/>
  <c r="D6" i="4"/>
  <c r="D5" i="4"/>
  <c r="D10" i="4" s="1"/>
  <c r="C10" i="4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32" i="2"/>
  <c r="A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28" i="2"/>
  <c r="A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18" i="2"/>
  <c r="A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12" i="2"/>
  <c r="A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8" i="2"/>
  <c r="A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5" i="2"/>
  <c r="A5" i="2"/>
  <c r="K34" i="1"/>
  <c r="H34" i="1"/>
  <c r="G34" i="1"/>
  <c r="J33" i="1"/>
  <c r="I33" i="1"/>
  <c r="D33" i="1"/>
  <c r="C33" i="1"/>
  <c r="K32" i="1"/>
  <c r="H32" i="1"/>
  <c r="G32" i="1"/>
  <c r="K31" i="1"/>
  <c r="H31" i="1"/>
  <c r="G31" i="1"/>
  <c r="K30" i="1"/>
  <c r="H30" i="1"/>
  <c r="G30" i="1"/>
  <c r="J29" i="1"/>
  <c r="I29" i="1"/>
  <c r="D29" i="1"/>
  <c r="C29" i="1"/>
  <c r="K28" i="1"/>
  <c r="H28" i="1"/>
  <c r="G28" i="1"/>
  <c r="K27" i="1"/>
  <c r="H27" i="1"/>
  <c r="G27" i="1"/>
  <c r="K26" i="1"/>
  <c r="H26" i="1"/>
  <c r="G26" i="1"/>
  <c r="K25" i="1"/>
  <c r="H25" i="1"/>
  <c r="G25" i="1"/>
  <c r="K24" i="1"/>
  <c r="H24" i="1"/>
  <c r="G24" i="1"/>
  <c r="K23" i="1"/>
  <c r="H23" i="1"/>
  <c r="G23" i="1"/>
  <c r="K22" i="1"/>
  <c r="H22" i="1"/>
  <c r="G22" i="1"/>
  <c r="K21" i="1"/>
  <c r="H21" i="1"/>
  <c r="G21" i="1"/>
  <c r="K20" i="1"/>
  <c r="H20" i="1"/>
  <c r="G20" i="1"/>
  <c r="J19" i="1"/>
  <c r="I19" i="1"/>
  <c r="D19" i="1"/>
  <c r="C19" i="1"/>
  <c r="K18" i="1"/>
  <c r="H18" i="1"/>
  <c r="G18" i="1"/>
  <c r="K17" i="1"/>
  <c r="H17" i="1"/>
  <c r="G17" i="1"/>
  <c r="K16" i="1"/>
  <c r="H16" i="1"/>
  <c r="G16" i="1"/>
  <c r="K15" i="1"/>
  <c r="H15" i="1"/>
  <c r="G15" i="1"/>
  <c r="K14" i="1"/>
  <c r="H14" i="1"/>
  <c r="G14" i="1"/>
  <c r="J13" i="1"/>
  <c r="I13" i="1"/>
  <c r="D13" i="1"/>
  <c r="G13" i="1" s="1"/>
  <c r="C13" i="1"/>
  <c r="K12" i="1"/>
  <c r="H12" i="1"/>
  <c r="G12" i="1"/>
  <c r="K11" i="1"/>
  <c r="H11" i="1"/>
  <c r="G11" i="1"/>
  <c r="K10" i="1"/>
  <c r="H10" i="1"/>
  <c r="G10" i="1"/>
  <c r="J9" i="1"/>
  <c r="I9" i="1"/>
  <c r="D9" i="1"/>
  <c r="G9" i="1" s="1"/>
  <c r="C9" i="1"/>
  <c r="K8" i="1"/>
  <c r="H8" i="1"/>
  <c r="G8" i="1"/>
  <c r="K7" i="1"/>
  <c r="I37" i="1" s="1"/>
  <c r="H7" i="1"/>
  <c r="G7" i="1"/>
  <c r="J6" i="1"/>
  <c r="I38" i="1" s="1"/>
  <c r="I6" i="1"/>
  <c r="I36" i="1" s="1"/>
  <c r="D6" i="1"/>
  <c r="G6" i="1" s="1"/>
  <c r="C6" i="1"/>
  <c r="G29" i="1" l="1"/>
  <c r="G19" i="1"/>
  <c r="G5" i="3"/>
  <c r="F17" i="3"/>
  <c r="F15" i="3"/>
  <c r="F16" i="3"/>
  <c r="O32" i="2"/>
  <c r="G33" i="1"/>
  <c r="R32" i="2"/>
  <c r="Q32" i="2"/>
  <c r="P32" i="2"/>
  <c r="S32" i="2"/>
  <c r="T32" i="2"/>
  <c r="N32" i="2"/>
  <c r="M32" i="2"/>
  <c r="L32" i="2"/>
  <c r="K32" i="2"/>
  <c r="J32" i="2"/>
  <c r="I32" i="2"/>
  <c r="H32" i="2"/>
  <c r="F32" i="2"/>
  <c r="E32" i="2"/>
  <c r="D32" i="2"/>
  <c r="C32" i="2"/>
  <c r="G32" i="2"/>
  <c r="T28" i="2"/>
  <c r="S28" i="2"/>
  <c r="R28" i="2"/>
  <c r="Q28" i="2"/>
  <c r="P28" i="2"/>
  <c r="O28" i="2"/>
  <c r="N28" i="2"/>
  <c r="C28" i="2"/>
  <c r="D28" i="2"/>
  <c r="E28" i="2"/>
  <c r="F28" i="2"/>
  <c r="G28" i="2"/>
  <c r="H28" i="2"/>
  <c r="I28" i="2"/>
  <c r="J28" i="2"/>
  <c r="K28" i="2"/>
  <c r="L28" i="2"/>
  <c r="M28" i="2"/>
  <c r="D18" i="2"/>
  <c r="K18" i="2"/>
  <c r="Q18" i="2"/>
  <c r="N18" i="2"/>
  <c r="I18" i="2"/>
  <c r="T18" i="2"/>
  <c r="O18" i="2"/>
  <c r="L18" i="2"/>
  <c r="H18" i="2"/>
  <c r="F18" i="2"/>
  <c r="M18" i="2"/>
  <c r="S18" i="2"/>
  <c r="E18" i="2"/>
  <c r="P18" i="2"/>
  <c r="R18" i="2"/>
  <c r="J18" i="2"/>
  <c r="G18" i="2"/>
  <c r="C18" i="2"/>
  <c r="J12" i="2"/>
  <c r="F12" i="2"/>
  <c r="S12" i="2"/>
  <c r="Q12" i="2"/>
  <c r="H12" i="2"/>
  <c r="D12" i="2"/>
  <c r="C12" i="2"/>
  <c r="I12" i="2"/>
  <c r="G12" i="2"/>
  <c r="T12" i="2"/>
  <c r="R12" i="2"/>
  <c r="N12" i="2"/>
  <c r="L12" i="2"/>
  <c r="M12" i="2"/>
  <c r="E12" i="2"/>
  <c r="P12" i="2"/>
  <c r="K12" i="2"/>
  <c r="O12" i="2"/>
  <c r="T8" i="2"/>
  <c r="R8" i="2"/>
  <c r="Q8" i="2"/>
  <c r="P8" i="2"/>
  <c r="O8" i="2"/>
  <c r="N8" i="2"/>
  <c r="M8" i="2"/>
  <c r="L8" i="2"/>
  <c r="S8" i="2"/>
  <c r="J8" i="2"/>
  <c r="I8" i="2"/>
  <c r="H8" i="2"/>
  <c r="G8" i="2"/>
  <c r="F8" i="2"/>
  <c r="E8" i="2"/>
  <c r="D8" i="2"/>
  <c r="C8" i="2"/>
  <c r="K8" i="2"/>
  <c r="S5" i="2"/>
  <c r="R5" i="2"/>
  <c r="Q5" i="2"/>
  <c r="T5" i="2"/>
  <c r="O5" i="2"/>
  <c r="N5" i="2"/>
  <c r="M5" i="2"/>
  <c r="L5" i="2"/>
  <c r="K5" i="2"/>
  <c r="J5" i="2"/>
  <c r="I5" i="2"/>
  <c r="H5" i="2"/>
  <c r="G5" i="2"/>
  <c r="F5" i="2"/>
  <c r="E5" i="2"/>
  <c r="D5" i="2"/>
  <c r="C5" i="2"/>
  <c r="P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Sinh viên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Ngày cập nhật tình trạng. Sửa ô này mỗi lần cập nhật tiến độ.</t>
        </r>
      </text>
    </comment>
  </commentList>
</comments>
</file>

<file path=xl/sharedStrings.xml><?xml version="1.0" encoding="utf-8"?>
<sst xmlns="http://schemas.openxmlformats.org/spreadsheetml/2006/main" count="251" uniqueCount="206">
  <si>
    <t>CẤU TRÚC PHÂN RÃ CÔNG VIỆC (WBS) – BÁO CÁO GIỮA KỲ</t>
  </si>
  <si>
    <t>Ngày báo cáo:</t>
  </si>
  <si>
    <t>Ô nền vàng chữ xanh: dữ liệu nhập tay. Các cột còn lại là công thức. KH = kế hoạch theo PLAN.md (18/10); TT = thực tế theo lịch sử commit.</t>
  </si>
  <si>
    <t>WBS</t>
  </si>
  <si>
    <t>Công việc</t>
  </si>
  <si>
    <t>KH bắt đầu</t>
  </si>
  <si>
    <t>KH kết thúc</t>
  </si>
  <si>
    <t>TT bắt đầu</t>
  </si>
  <si>
    <t>TT kết thúc</t>
  </si>
  <si>
    <t>Thời lượng KH (ngày)</t>
  </si>
  <si>
    <t>Chênh lệch kết thúc (ngày)</t>
  </si>
  <si>
    <t>% hoàn thành</t>
  </si>
  <si>
    <t>Giờ công</t>
  </si>
  <si>
    <t>Trạng thái</t>
  </si>
  <si>
    <t>Sản phẩm</t>
  </si>
  <si>
    <t>Mục barem</t>
  </si>
  <si>
    <t>1</t>
  </si>
  <si>
    <t>Khởi động dự án</t>
  </si>
  <si>
    <t>1.1</t>
  </si>
  <si>
    <t>Tạo repo, kế hoạch, cấu trúc thư mục</t>
  </si>
  <si>
    <t>PLAN.md, README.md</t>
  </si>
  <si>
    <t>GitHub</t>
  </si>
  <si>
    <t>1.2</t>
  </si>
  <si>
    <t>Gửi email xin dữ liệu gốc cho tác giả</t>
  </si>
  <si>
    <t>docs/email-xin-du-lieu.md</t>
  </si>
  <si>
    <t>Tái hiện</t>
  </si>
  <si>
    <t>2</t>
  </si>
  <si>
    <t>Đọc hiểu bài báo</t>
  </si>
  <si>
    <t>2.1</t>
  </si>
  <si>
    <t>Ghi chú mục 1–3, bảng thuật ngữ</t>
  </si>
  <si>
    <t>docs/notes/01, 02, thuat-ngu</t>
  </si>
  <si>
    <t>Nội dung</t>
  </si>
  <si>
    <t>2.2</t>
  </si>
  <si>
    <t>Ghi chú kết quả, tổng hợp điểm mâu thuẫn</t>
  </si>
  <si>
    <t>docs/notes/03, 04</t>
  </si>
  <si>
    <t>Mở rộng</t>
  </si>
  <si>
    <t>2.3</t>
  </si>
  <si>
    <t>Lập danh sách tài liệu tham khảo</t>
  </si>
  <si>
    <t>docs/tai-lieu-tham-khao.md</t>
  </si>
  <si>
    <t>3</t>
  </si>
  <si>
    <t>Tái hiện thực nghiệm</t>
  </si>
  <si>
    <t>3.1</t>
  </si>
  <si>
    <t>Nhập số liệu các bảng của bài báo</t>
  </si>
  <si>
    <t>data/published/*.csv</t>
  </si>
  <si>
    <t>3.2</t>
  </si>
  <si>
    <t>Kiểm tra lại số liệu đã công bố</t>
  </si>
  <si>
    <t>src/kiem_tra_so_lieu.py</t>
  </si>
  <si>
    <t>3.3</t>
  </si>
  <si>
    <t>Sinh dữ liệu mô phỏng 314 phiếu</t>
  </si>
  <si>
    <t>data/simulated</t>
  </si>
  <si>
    <t>3.4</t>
  </si>
  <si>
    <t>Cronbach, RII, PIM trên dữ liệu mô phỏng</t>
  </si>
  <si>
    <t>results</t>
  </si>
  <si>
    <t>3.5</t>
  </si>
  <si>
    <t>PLS-SEM, bootstrapping, HTMT</t>
  </si>
  <si>
    <t>src, results</t>
  </si>
  <si>
    <t>4</t>
  </si>
  <si>
    <t>Viết báo cáo</t>
  </si>
  <si>
    <t>4.1</t>
  </si>
  <si>
    <t>Dựng khung LaTeX theo mẫu KLTN</t>
  </si>
  <si>
    <t>report/main.tex</t>
  </si>
  <si>
    <t>Hình thức</t>
  </si>
  <si>
    <t>4.2</t>
  </si>
  <si>
    <t>Viết Chương 1 – Tổng quan</t>
  </si>
  <si>
    <t>report/chuong/chuong1.tex</t>
  </si>
  <si>
    <t>4.3</t>
  </si>
  <si>
    <t>Vẽ sơ đồ tư duy và sơ đồ mô hình</t>
  </si>
  <si>
    <t>report/hinh</t>
  </si>
  <si>
    <t>4.4</t>
  </si>
  <si>
    <t>Viết Chương 2 – Phương pháp và mô hình</t>
  </si>
  <si>
    <t>report/chuong/chuong2.tex</t>
  </si>
  <si>
    <t>4.5</t>
  </si>
  <si>
    <t>Viết Chương 3 – Tái hiện thực nghiệm</t>
  </si>
  <si>
    <t>report/chuong/chuong3.tex</t>
  </si>
  <si>
    <t>4.6</t>
  </si>
  <si>
    <t>Ví dụ thực tế 1: dự án dầu khí Việt Nam</t>
  </si>
  <si>
    <t>chuong4.tex</t>
  </si>
  <si>
    <t>4.7</t>
  </si>
  <si>
    <t>Ví dụ thực tế 2: dự án HTTT (MS Project, Excel)</t>
  </si>
  <si>
    <t>4.8</t>
  </si>
  <si>
    <t>Mô phỏng Monte Carlo, phản biện bài báo</t>
  </si>
  <si>
    <t>4.9</t>
  </si>
  <si>
    <t>Mở đầu, kết luận, rà soát, xuất PDF</t>
  </si>
  <si>
    <t>bao-cao.pdf</t>
  </si>
  <si>
    <t>5</t>
  </si>
  <si>
    <t>Thuyết trình và nộp bài</t>
  </si>
  <si>
    <t>5.1</t>
  </si>
  <si>
    <t>Làm slide (≤ 15 slide nội dung)</t>
  </si>
  <si>
    <t>slides/</t>
  </si>
  <si>
    <t>Thuyết trình</t>
  </si>
  <si>
    <t>5.2</t>
  </si>
  <si>
    <t>Tập thuyết trình, soạn câu hỏi</t>
  </si>
  <si>
    <t>5.3</t>
  </si>
  <si>
    <t>Nộp bài</t>
  </si>
  <si>
    <t>Mốc</t>
  </si>
  <si>
    <t>6</t>
  </si>
  <si>
    <t>Quản lý dự án</t>
  </si>
  <si>
    <t>6.1</t>
  </si>
  <si>
    <t>Lập WBS, Gantt, sổ rủi ro (Excel, MS Project)</t>
  </si>
  <si>
    <t>quan-ly-du-an/</t>
  </si>
  <si>
    <t>TOÀN DỰ ÁN (tính theo giờ công)</t>
  </si>
  <si>
    <t>Số việc trễ hạn</t>
  </si>
  <si>
    <t>Tổng giờ công kế hoạch</t>
  </si>
  <si>
    <t>BIỂU ĐỒ GANTT – KẾ HOẠCH (□) VÀ THỰC TẾ (■)</t>
  </si>
  <si>
    <t>Tự cập nhật theo sheet WBS. Cột tô viền đỏ là ngày báo cáo (WBS!B2).</t>
  </si>
  <si>
    <t>Tháng 10/2026</t>
  </si>
  <si>
    <t>Tháng 11</t>
  </si>
  <si>
    <t>SỔ ĐĂNG KÝ RỦI RO CỦA DỰ ÁN LÀM BÁO CÁO</t>
  </si>
  <si>
    <t>Xác suất (P) và tác động (I) chấm 1–5. Điểm = P × I. Vùng: Đỏ ≥ 15, Vàng 8–14, Xanh &lt; 8 (cùng quy ước với ma trận PIM trong báo cáo).</t>
  </si>
  <si>
    <t>Mã</t>
  </si>
  <si>
    <t>Rủi ro</t>
  </si>
  <si>
    <t>Nguyên nhân</t>
  </si>
  <si>
    <t>P</t>
  </si>
  <si>
    <t>I</t>
  </si>
  <si>
    <t>Điểm</t>
  </si>
  <si>
    <t>Vùng</t>
  </si>
  <si>
    <t>Chiến lược</t>
  </si>
  <si>
    <t>Hành động ứng phó</t>
  </si>
  <si>
    <t>Phụ trách</t>
  </si>
  <si>
    <t>R1</t>
  </si>
  <si>
    <t>Không có dữ liệu gốc của bài báo</t>
  </si>
  <si>
    <t>Tác giả chỉ cung cấp khi có yêu cầu</t>
  </si>
  <si>
    <t>Giảm thiểu</t>
  </si>
  <si>
    <t>Kiểm tra lại số liệu đã công bố + dùng dữ liệu mô phỏng; gửi email xin dữ liệu</t>
  </si>
  <si>
    <t>Sinh viên</t>
  </si>
  <si>
    <t>Đang xử lý</t>
  </si>
  <si>
    <t>R2</t>
  </si>
  <si>
    <t>Lịch sử GitHub ngắn hơn 3 tuần</t>
  </si>
  <si>
    <t>Bắt đầu muộn (19/10, hạn 04/11)</t>
  </si>
  <si>
    <t>Chấp nhận</t>
  </si>
  <si>
    <t>Commit đều mỗi ngày; chủ động báo giảng viên</t>
  </si>
  <si>
    <t>Đã xảy ra</t>
  </si>
  <si>
    <t>R3</t>
  </si>
  <si>
    <t>Chậm tiến độ so với kế hoạch</t>
  </si>
  <si>
    <t>Đã trễ 4 ngày ở giai đoạn 22–25/10</t>
  </si>
  <si>
    <t>Làm bù ngày 26/10; ưu tiên mục có trong barem</t>
  </si>
  <si>
    <t>R4</t>
  </si>
  <si>
    <t>Không biên dịch được LaTeX trên máy</t>
  </si>
  <si>
    <t>Máy chưa cài TeX</t>
  </si>
  <si>
    <t>Né tránh</t>
  </si>
  <si>
    <t>Biên dịch trên Overleaf (XeLaTeX)</t>
  </si>
  <si>
    <t>Đang theo dõi</t>
  </si>
  <si>
    <t>R5</t>
  </si>
  <si>
    <t>Báo cáo dưới 20 trang ruột</t>
  </si>
  <si>
    <t>Chương 3–4 chưa viết</t>
  </si>
  <si>
    <t>Đếm trang sau mỗi chương; bổ sung phần mở rộng nếu thiếu</t>
  </si>
  <si>
    <t>R6</t>
  </si>
  <si>
    <t>Không trả lời được câu hỏi khi thuyết trình</t>
  </si>
  <si>
    <t>Kiến thức PLS-SEM mới với sinh viên</t>
  </si>
  <si>
    <t>Đọc lại ghi chú, soạn trước 10 câu hỏi và câu trả lời</t>
  </si>
  <si>
    <t>R7</t>
  </si>
  <si>
    <t>Thiếu nguồn tin cậy cho ví dụ dầu khí Việt Nam</t>
  </si>
  <si>
    <t>Nhiều thông tin chỉ có trên báo mạng</t>
  </si>
  <si>
    <t>Dùng bài báo khoa học, kết luận thanh tra, báo cáo kiểm toán</t>
  </si>
  <si>
    <t>R8</t>
  </si>
  <si>
    <t>Thiếu phụ lục khai báo công cụ hỗ trợ</t>
  </si>
  <si>
    <t>Chưa viết phụ lục B</t>
  </si>
  <si>
    <t>Hoàn thiện phụ lục B trước khi xuất PDF (02/11)</t>
  </si>
  <si>
    <t>Mở</t>
  </si>
  <si>
    <t>R9</t>
  </si>
  <si>
    <t>Mất dữ liệu trên máy cá nhân</t>
  </si>
  <si>
    <t>Hỏng ổ cứng, xoá nhầm</t>
  </si>
  <si>
    <t>Chuyển giao</t>
  </si>
  <si>
    <t>Push lên GitHub sau mỗi buổi làm</t>
  </si>
  <si>
    <t>Số rủi ro vùng đỏ</t>
  </si>
  <si>
    <t>Số rủi ro vùng vàng</t>
  </si>
  <si>
    <t>Điểm rủi ro trung bình</t>
  </si>
  <si>
    <t>ĐỐI CHIẾU BAREM CHẤM ĐIỂM (Lesson 1, slide 52)</t>
  </si>
  <si>
    <t>Mức hoàn thành do sinh viên tự đánh giá (ô vàng). Điểm dự kiến = điểm tối đa × mức hoàn thành.</t>
  </si>
  <si>
    <t>Yêu cầu</t>
  </si>
  <si>
    <t>Điểm tối đa</t>
  </si>
  <si>
    <t>Mức hoàn thành</t>
  </si>
  <si>
    <t>Điểm dự kiến</t>
  </si>
  <si>
    <t>Đáp ứng ở đâu</t>
  </si>
  <si>
    <t>Nội dung báo cáo: khái niệm, thành phần, mô hình, cách hoạt động, ứng dụng, ưu/nhược, xu hướng</t>
  </si>
  <si>
    <t>Chương 1, Chương 2</t>
  </si>
  <si>
    <t>Tái hiện thực nghiệm phân tích dữ liệu của bài báo</t>
  </si>
  <si>
    <t>Chương 3, src/, results/</t>
  </si>
  <si>
    <t>Khả năng mở rộng, liên hệ thực tế (2 ví dụ thực tế)</t>
  </si>
  <si>
    <t>Chương 4, docs/notes/04</t>
  </si>
  <si>
    <t>Thuyết trình và trả lời câu hỏi</t>
  </si>
  <si>
    <t>Phản biện các đề tài khác</t>
  </si>
  <si>
    <t>docs/phan-bien.md</t>
  </si>
  <si>
    <t>TỔNG</t>
  </si>
  <si>
    <t>Yêu cầu hình thức (slide 54)</t>
  </si>
  <si>
    <t>Mẫu KLTN, 1 file PDF, khuyến khích LaTeX</t>
  </si>
  <si>
    <t>Đạt</t>
  </si>
  <si>
    <t>Tối thiểu 20 trang ruột</t>
  </si>
  <si>
    <t>Đạt (ước tính 35–40 trang)</t>
  </si>
  <si>
    <t>Chữ trong bảng, hình là tiếng Việt</t>
  </si>
  <si>
    <t>Gõ lại công thức, đánh số ở lề phải</t>
  </si>
  <si>
    <t>Danh mục tài liệu tham khảo, trích dẫn trong bài</t>
  </si>
  <si>
    <t>Khai báo công cụ hỗ trợ đã dùng</t>
  </si>
  <si>
    <t>Chưa đạt</t>
  </si>
  <si>
    <t>Đẩy file phân tích lên GitHub, lịch sử ≥ 3 tuần</t>
  </si>
  <si>
    <t>Không đạt (16 ngày)</t>
  </si>
  <si>
    <t>Không dùng nguồn không tin cậy</t>
  </si>
  <si>
    <t>NHẬT KÝ LÀM VIỆC (theo lịch sử commit GitHub)</t>
  </si>
  <si>
    <t>Ngày</t>
  </si>
  <si>
    <t>Số commit</t>
  </si>
  <si>
    <t>Nội dung chính</t>
  </si>
  <si>
    <t>Lũy kế commit</t>
  </si>
  <si>
    <t>Khởi tạo repo, kế hoạch, cấu trúc thư mục</t>
  </si>
  <si>
    <t>Ghi chú đọc bài báo, thuật ngữ, điểm mâu thuẫn, tài liệu tham khảo</t>
  </si>
  <si>
    <t>Số liệu, kiểm tra số liệu, mô phỏng, PLS-SEM, Monte Carlo, Excel/MS Project, Chương 1–4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</si>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</sst>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dd/mm/yyyy"/>
    <numFmt numFmtId="166" formatCode="dd/mm"/>
    <numFmt numFmtId="167" formatCode="\+0;\-0;0"/>
    <numFmt numFmtId="168" formatCode="0.0%"/>
    <numFmt numFmtId="169" formatCode="dd"/>
    <numFmt numFmtId="170" formatCode="0.0"/>
  </numFmts>
  <fonts count="8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b/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5" fontId="3" fillId="2" borderId="1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6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textRotation="90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ont>
        <color rgb="FFBDD7EE"/>
      </font>
      <fill>
        <patternFill patternType="solid">
          <fgColor rgb="FFBDD7EE"/>
        </patternFill>
      </fill>
    </dxf>
    <dxf>
      <font>
        <color rgb="FF2E75B6"/>
      </font>
      <fill>
        <patternFill patternType="solid">
          <fgColor rgb="FF2E75B6"/>
        </patternFill>
      </fill>
    </dxf>
    <dxf>
      <border>
        <left style="medium">
          <color rgb="FFC00000"/>
        </left>
        <right style="medium">
          <color rgb="FFC00000"/>
        </right>
      </border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44" customWidth="1"/>
    <col min="3" max="7" width="11" customWidth="1"/>
    <col min="8" max="8" width="12" customWidth="1"/>
    <col min="9" max="9" width="11" customWidth="1"/>
    <col min="10" max="10" width="9" customWidth="1"/>
    <col min="11" max="11" width="13" customWidth="1"/>
    <col min="12" max="12" width="30" customWidth="1"/>
    <col min="13" max="13" width="12" customWidth="1"/>
  </cols>
  <sheetData>
    <row r="1" spans="1:13" ht="16.8" x14ac:dyDescent="0.3">
      <c r="A1" s="1" t="s">
        <v>0</v>
      </c>
    </row>
    <row r="2" spans="1:13" x14ac:dyDescent="0.3">
      <c r="A2" s="2" t="s">
        <v>1</v>
      </c>
      <c r="B2" s="3">
        <v>46321</v>
      </c>
    </row>
    <row r="3" spans="1:13" x14ac:dyDescent="0.3">
      <c r="A3" s="4" t="s">
        <v>2</v>
      </c>
    </row>
    <row r="5" spans="1:13" ht="31.95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3">
      <c r="A6" s="6" t="s">
        <v>16</v>
      </c>
      <c r="B6" s="6" t="s">
        <v>17</v>
      </c>
      <c r="C6" s="7">
        <f>MIN(C7:C8)</f>
        <v>46313</v>
      </c>
      <c r="D6" s="7">
        <f>MAX(D7:D8)</f>
        <v>46313</v>
      </c>
      <c r="E6" s="6"/>
      <c r="F6" s="6"/>
      <c r="G6" s="8">
        <f t="shared" ref="G6:G34" si="0">D6-C6+1</f>
        <v>1</v>
      </c>
      <c r="H6" s="6"/>
      <c r="I6" s="9">
        <f>IFERROR(SUMPRODUCT(I7:I8,J7:J8)/SUM(J7:J8),0)</f>
        <v>0.75</v>
      </c>
      <c r="J6" s="8">
        <f>SUM(J7:J8)</f>
        <v>4</v>
      </c>
      <c r="K6" s="6"/>
      <c r="L6" s="6"/>
      <c r="M6" s="6"/>
    </row>
    <row r="7" spans="1:13" x14ac:dyDescent="0.3">
      <c r="A7" s="10" t="s">
        <v>18</v>
      </c>
      <c r="B7" s="11" t="s">
        <v>19</v>
      </c>
      <c r="C7" s="12">
        <v>46313</v>
      </c>
      <c r="D7" s="12">
        <v>46313</v>
      </c>
      <c r="E7" s="12">
        <v>46314</v>
      </c>
      <c r="F7" s="12">
        <v>46314</v>
      </c>
      <c r="G7" s="13">
        <f t="shared" si="0"/>
        <v>1</v>
      </c>
      <c r="H7" s="14">
        <f>IF(F7="","",F7-D7)</f>
        <v>1</v>
      </c>
      <c r="I7" s="15">
        <v>1</v>
      </c>
      <c r="J7" s="16">
        <v>3</v>
      </c>
      <c r="K7" s="10" t="str">
        <f>IF(I7&gt;=1,"Hoàn thành",IF(I7&gt;0,"Đang làm",IF(D7&lt;$B$2,"Trễ hạn","Chưa bắt đầu")))</f>
        <v>Hoàn thành</v>
      </c>
      <c r="L7" s="11" t="s">
        <v>20</v>
      </c>
      <c r="M7" s="10" t="s">
        <v>21</v>
      </c>
    </row>
    <row r="8" spans="1:13" x14ac:dyDescent="0.3">
      <c r="A8" s="10" t="s">
        <v>22</v>
      </c>
      <c r="B8" s="11" t="s">
        <v>23</v>
      </c>
      <c r="C8" s="12">
        <v>46313</v>
      </c>
      <c r="D8" s="12">
        <v>46313</v>
      </c>
      <c r="E8" s="12"/>
      <c r="F8" s="12"/>
      <c r="G8" s="13">
        <f t="shared" si="0"/>
        <v>1</v>
      </c>
      <c r="H8" s="14" t="str">
        <f>IF(F8="","",F8-D8)</f>
        <v/>
      </c>
      <c r="I8" s="15">
        <v>0</v>
      </c>
      <c r="J8" s="16">
        <v>1</v>
      </c>
      <c r="K8" s="10" t="str">
        <f>IF(I8&gt;=1,"Hoàn thành",IF(I8&gt;0,"Đang làm",IF(D8&lt;$B$2,"Trễ hạn","Chưa bắt đầu")))</f>
        <v>Trễ hạn</v>
      </c>
      <c r="L8" s="11" t="s">
        <v>24</v>
      </c>
      <c r="M8" s="10" t="s">
        <v>25</v>
      </c>
    </row>
    <row r="9" spans="1:13" x14ac:dyDescent="0.3">
      <c r="A9" s="6" t="s">
        <v>26</v>
      </c>
      <c r="B9" s="6" t="s">
        <v>27</v>
      </c>
      <c r="C9" s="7">
        <f>MIN(C10:C12)</f>
        <v>46314</v>
      </c>
      <c r="D9" s="7">
        <f>MAX(D10:D12)</f>
        <v>46316</v>
      </c>
      <c r="E9" s="6"/>
      <c r="F9" s="6"/>
      <c r="G9" s="8">
        <f t="shared" si="0"/>
        <v>3</v>
      </c>
      <c r="H9" s="6"/>
      <c r="I9" s="9">
        <f>IFERROR(SUMPRODUCT(I10:I12,J10:J12)/SUM(J10:J12),0)</f>
        <v>1</v>
      </c>
      <c r="J9" s="8">
        <f>SUM(J10:J12)</f>
        <v>12</v>
      </c>
      <c r="K9" s="6"/>
      <c r="L9" s="6"/>
      <c r="M9" s="6"/>
    </row>
    <row r="10" spans="1:13" x14ac:dyDescent="0.3">
      <c r="A10" s="10" t="s">
        <v>28</v>
      </c>
      <c r="B10" s="11" t="s">
        <v>29</v>
      </c>
      <c r="C10" s="12">
        <v>46314</v>
      </c>
      <c r="D10" s="12">
        <v>46315</v>
      </c>
      <c r="E10" s="12">
        <v>46315</v>
      </c>
      <c r="F10" s="12">
        <v>46315</v>
      </c>
      <c r="G10" s="13">
        <f t="shared" si="0"/>
        <v>2</v>
      </c>
      <c r="H10" s="14">
        <f>IF(F10="","",F10-D10)</f>
        <v>0</v>
      </c>
      <c r="I10" s="15">
        <v>1</v>
      </c>
      <c r="J10" s="16">
        <v>6</v>
      </c>
      <c r="K10" s="10" t="str">
        <f>IF(I10&gt;=1,"Hoàn thành",IF(I10&gt;0,"Đang làm",IF(D10&lt;$B$2,"Trễ hạn","Chưa bắt đầu")))</f>
        <v>Hoàn thành</v>
      </c>
      <c r="L10" s="11" t="s">
        <v>30</v>
      </c>
      <c r="M10" s="10" t="s">
        <v>31</v>
      </c>
    </row>
    <row r="11" spans="1:13" x14ac:dyDescent="0.3">
      <c r="A11" s="10" t="s">
        <v>32</v>
      </c>
      <c r="B11" s="11" t="s">
        <v>33</v>
      </c>
      <c r="C11" s="12">
        <v>46316</v>
      </c>
      <c r="D11" s="12">
        <v>46316</v>
      </c>
      <c r="E11" s="12">
        <v>46315</v>
      </c>
      <c r="F11" s="12">
        <v>46315</v>
      </c>
      <c r="G11" s="13">
        <f t="shared" si="0"/>
        <v>1</v>
      </c>
      <c r="H11" s="14">
        <f>IF(F11="","",F11-D11)</f>
        <v>-1</v>
      </c>
      <c r="I11" s="15">
        <v>1</v>
      </c>
      <c r="J11" s="16">
        <v>4</v>
      </c>
      <c r="K11" s="10" t="str">
        <f>IF(I11&gt;=1,"Hoàn thành",IF(I11&gt;0,"Đang làm",IF(D11&lt;$B$2,"Trễ hạn","Chưa bắt đầu")))</f>
        <v>Hoàn thành</v>
      </c>
      <c r="L11" s="11" t="s">
        <v>34</v>
      </c>
      <c r="M11" s="10" t="s">
        <v>35</v>
      </c>
    </row>
    <row r="12" spans="1:13" x14ac:dyDescent="0.3">
      <c r="A12" s="10" t="s">
        <v>36</v>
      </c>
      <c r="B12" s="11" t="s">
        <v>37</v>
      </c>
      <c r="C12" s="12">
        <v>46316</v>
      </c>
      <c r="D12" s="12">
        <v>46316</v>
      </c>
      <c r="E12" s="12">
        <v>46315</v>
      </c>
      <c r="F12" s="12">
        <v>46315</v>
      </c>
      <c r="G12" s="13">
        <f t="shared" si="0"/>
        <v>1</v>
      </c>
      <c r="H12" s="14">
        <f>IF(F12="","",F12-D12)</f>
        <v>-1</v>
      </c>
      <c r="I12" s="15">
        <v>1</v>
      </c>
      <c r="J12" s="16">
        <v>2</v>
      </c>
      <c r="K12" s="10" t="str">
        <f>IF(I12&gt;=1,"Hoàn thành",IF(I12&gt;0,"Đang làm",IF(D12&lt;$B$2,"Trễ hạn","Chưa bắt đầu")))</f>
        <v>Hoàn thành</v>
      </c>
      <c r="L12" s="11" t="s">
        <v>38</v>
      </c>
      <c r="M12" s="10" t="s">
        <v>31</v>
      </c>
    </row>
    <row r="13" spans="1:13" x14ac:dyDescent="0.3">
      <c r="A13" s="6" t="s">
        <v>39</v>
      </c>
      <c r="B13" s="6" t="s">
        <v>40</v>
      </c>
      <c r="C13" s="7">
        <f>MIN(C14:C18)</f>
        <v>46317</v>
      </c>
      <c r="D13" s="7">
        <f>MAX(D14:D18)</f>
        <v>46323</v>
      </c>
      <c r="E13" s="6"/>
      <c r="F13" s="6"/>
      <c r="G13" s="8">
        <f t="shared" si="0"/>
        <v>7</v>
      </c>
      <c r="H13" s="6"/>
      <c r="I13" s="9">
        <f>IFERROR(SUMPRODUCT(I14:I18,J14:J18)/SUM(J14:J18),0)</f>
        <v>1</v>
      </c>
      <c r="J13" s="8">
        <f>SUM(J14:J18)</f>
        <v>24</v>
      </c>
      <c r="K13" s="6"/>
      <c r="L13" s="6"/>
      <c r="M13" s="6"/>
    </row>
    <row r="14" spans="1:13" x14ac:dyDescent="0.3">
      <c r="A14" s="10" t="s">
        <v>41</v>
      </c>
      <c r="B14" s="11" t="s">
        <v>42</v>
      </c>
      <c r="C14" s="12">
        <v>46317</v>
      </c>
      <c r="D14" s="12">
        <v>46318</v>
      </c>
      <c r="E14" s="12">
        <v>46321</v>
      </c>
      <c r="F14" s="12">
        <v>46321</v>
      </c>
      <c r="G14" s="13">
        <f t="shared" si="0"/>
        <v>2</v>
      </c>
      <c r="H14" s="14">
        <f>IF(F14="","",F14-D14)</f>
        <v>3</v>
      </c>
      <c r="I14" s="15">
        <v>1</v>
      </c>
      <c r="J14" s="16">
        <v>3</v>
      </c>
      <c r="K14" s="10" t="str">
        <f>IF(I14&gt;=1,"Hoàn thành",IF(I14&gt;0,"Đang làm",IF(D14&lt;$B$2,"Trễ hạn","Chưa bắt đầu")))</f>
        <v>Hoàn thành</v>
      </c>
      <c r="L14" s="11" t="s">
        <v>43</v>
      </c>
      <c r="M14" s="10" t="s">
        <v>25</v>
      </c>
    </row>
    <row r="15" spans="1:13" x14ac:dyDescent="0.3">
      <c r="A15" s="10" t="s">
        <v>44</v>
      </c>
      <c r="B15" s="11" t="s">
        <v>45</v>
      </c>
      <c r="C15" s="12">
        <v>46318</v>
      </c>
      <c r="D15" s="12">
        <v>46318</v>
      </c>
      <c r="E15" s="12">
        <v>46321</v>
      </c>
      <c r="F15" s="12">
        <v>46321</v>
      </c>
      <c r="G15" s="13">
        <f t="shared" si="0"/>
        <v>1</v>
      </c>
      <c r="H15" s="14">
        <f>IF(F15="","",F15-D15)</f>
        <v>3</v>
      </c>
      <c r="I15" s="15">
        <v>1</v>
      </c>
      <c r="J15" s="16">
        <v>5</v>
      </c>
      <c r="K15" s="10" t="str">
        <f>IF(I15&gt;=1,"Hoàn thành",IF(I15&gt;0,"Đang làm",IF(D15&lt;$B$2,"Trễ hạn","Chưa bắt đầu")))</f>
        <v>Hoàn thành</v>
      </c>
      <c r="L15" s="11" t="s">
        <v>46</v>
      </c>
      <c r="M15" s="10" t="s">
        <v>25</v>
      </c>
    </row>
    <row r="16" spans="1:13" x14ac:dyDescent="0.3">
      <c r="A16" s="10" t="s">
        <v>47</v>
      </c>
      <c r="B16" s="11" t="s">
        <v>48</v>
      </c>
      <c r="C16" s="12">
        <v>46322</v>
      </c>
      <c r="D16" s="12">
        <v>46322</v>
      </c>
      <c r="E16" s="12">
        <v>46321</v>
      </c>
      <c r="F16" s="12">
        <v>46321</v>
      </c>
      <c r="G16" s="13">
        <f t="shared" si="0"/>
        <v>1</v>
      </c>
      <c r="H16" s="14">
        <f>IF(F16="","",F16-D16)</f>
        <v>-1</v>
      </c>
      <c r="I16" s="15">
        <v>1</v>
      </c>
      <c r="J16" s="16">
        <v>4</v>
      </c>
      <c r="K16" s="10" t="str">
        <f>IF(I16&gt;=1,"Hoàn thành",IF(I16&gt;0,"Đang làm",IF(D16&lt;$B$2,"Trễ hạn","Chưa bắt đầu")))</f>
        <v>Hoàn thành</v>
      </c>
      <c r="L16" s="11" t="s">
        <v>49</v>
      </c>
      <c r="M16" s="10" t="s">
        <v>25</v>
      </c>
    </row>
    <row r="17" spans="1:13" x14ac:dyDescent="0.3">
      <c r="A17" s="10" t="s">
        <v>50</v>
      </c>
      <c r="B17" s="11" t="s">
        <v>51</v>
      </c>
      <c r="C17" s="12">
        <v>46322</v>
      </c>
      <c r="D17" s="12">
        <v>46322</v>
      </c>
      <c r="E17" s="12">
        <v>46321</v>
      </c>
      <c r="F17" s="12">
        <v>46321</v>
      </c>
      <c r="G17" s="13">
        <f t="shared" si="0"/>
        <v>1</v>
      </c>
      <c r="H17" s="14">
        <f>IF(F17="","",F17-D17)</f>
        <v>-1</v>
      </c>
      <c r="I17" s="15">
        <v>1</v>
      </c>
      <c r="J17" s="16">
        <v>4</v>
      </c>
      <c r="K17" s="10" t="str">
        <f>IF(I17&gt;=1,"Hoàn thành",IF(I17&gt;0,"Đang làm",IF(D17&lt;$B$2,"Trễ hạn","Chưa bắt đầu")))</f>
        <v>Hoàn thành</v>
      </c>
      <c r="L17" s="11" t="s">
        <v>52</v>
      </c>
      <c r="M17" s="10" t="s">
        <v>25</v>
      </c>
    </row>
    <row r="18" spans="1:13" x14ac:dyDescent="0.3">
      <c r="A18" s="10" t="s">
        <v>53</v>
      </c>
      <c r="B18" s="11" t="s">
        <v>54</v>
      </c>
      <c r="C18" s="12">
        <v>46323</v>
      </c>
      <c r="D18" s="12">
        <v>46323</v>
      </c>
      <c r="E18" s="12">
        <v>46321</v>
      </c>
      <c r="F18" s="12">
        <v>46321</v>
      </c>
      <c r="G18" s="13">
        <f t="shared" si="0"/>
        <v>1</v>
      </c>
      <c r="H18" s="14">
        <f>IF(F18="","",F18-D18)</f>
        <v>-2</v>
      </c>
      <c r="I18" s="15">
        <v>1</v>
      </c>
      <c r="J18" s="16">
        <v>8</v>
      </c>
      <c r="K18" s="10" t="str">
        <f>IF(I18&gt;=1,"Hoàn thành",IF(I18&gt;0,"Đang làm",IF(D18&lt;$B$2,"Trễ hạn","Chưa bắt đầu")))</f>
        <v>Hoàn thành</v>
      </c>
      <c r="L18" s="11" t="s">
        <v>55</v>
      </c>
      <c r="M18" s="10" t="s">
        <v>25</v>
      </c>
    </row>
    <row r="19" spans="1:13" x14ac:dyDescent="0.3">
      <c r="A19" s="6" t="s">
        <v>56</v>
      </c>
      <c r="B19" s="6" t="s">
        <v>57</v>
      </c>
      <c r="C19" s="7">
        <f>MIN(C20:C28)</f>
        <v>46317</v>
      </c>
      <c r="D19" s="7">
        <f>MAX(D20:D28)</f>
        <v>46328</v>
      </c>
      <c r="E19" s="6"/>
      <c r="F19" s="6"/>
      <c r="G19" s="8">
        <f t="shared" si="0"/>
        <v>12</v>
      </c>
      <c r="H19" s="6"/>
      <c r="I19" s="9">
        <f>IFERROR(SUMPRODUCT(I20:I28,J20:J28)/SUM(J20:J28),0)</f>
        <v>0.9538461538461539</v>
      </c>
      <c r="J19" s="8">
        <f>SUM(J20:J28)</f>
        <v>52</v>
      </c>
      <c r="K19" s="6"/>
      <c r="L19" s="6"/>
      <c r="M19" s="6"/>
    </row>
    <row r="20" spans="1:13" x14ac:dyDescent="0.3">
      <c r="A20" s="10" t="s">
        <v>58</v>
      </c>
      <c r="B20" s="11" t="s">
        <v>59</v>
      </c>
      <c r="C20" s="12">
        <v>46317</v>
      </c>
      <c r="D20" s="12">
        <v>46317</v>
      </c>
      <c r="E20" s="12">
        <v>46321</v>
      </c>
      <c r="F20" s="12">
        <v>46321</v>
      </c>
      <c r="G20" s="13">
        <f t="shared" si="0"/>
        <v>1</v>
      </c>
      <c r="H20" s="14">
        <f t="shared" ref="H20:H28" si="1">IF(F20="","",F20-D20)</f>
        <v>4</v>
      </c>
      <c r="I20" s="15">
        <v>1</v>
      </c>
      <c r="J20" s="16">
        <v>2</v>
      </c>
      <c r="K20" s="10" t="str">
        <f t="shared" ref="K20:K28" si="2">IF(I20&gt;=1,"Hoàn thành",IF(I20&gt;0,"Đang làm",IF(D20&lt;$B$2,"Trễ hạn","Chưa bắt đầu")))</f>
        <v>Hoàn thành</v>
      </c>
      <c r="L20" s="11" t="s">
        <v>60</v>
      </c>
      <c r="M20" s="10" t="s">
        <v>61</v>
      </c>
    </row>
    <row r="21" spans="1:13" x14ac:dyDescent="0.3">
      <c r="A21" s="10" t="s">
        <v>62</v>
      </c>
      <c r="B21" s="11" t="s">
        <v>63</v>
      </c>
      <c r="C21" s="12">
        <v>46319</v>
      </c>
      <c r="D21" s="12">
        <v>46319</v>
      </c>
      <c r="E21" s="12">
        <v>46321</v>
      </c>
      <c r="F21" s="12">
        <v>46321</v>
      </c>
      <c r="G21" s="13">
        <f t="shared" si="0"/>
        <v>1</v>
      </c>
      <c r="H21" s="14">
        <f t="shared" si="1"/>
        <v>2</v>
      </c>
      <c r="I21" s="15">
        <v>1</v>
      </c>
      <c r="J21" s="16">
        <v>5</v>
      </c>
      <c r="K21" s="10" t="str">
        <f t="shared" si="2"/>
        <v>Hoàn thành</v>
      </c>
      <c r="L21" s="11" t="s">
        <v>64</v>
      </c>
      <c r="M21" s="10" t="s">
        <v>31</v>
      </c>
    </row>
    <row r="22" spans="1:13" x14ac:dyDescent="0.3">
      <c r="A22" s="10" t="s">
        <v>65</v>
      </c>
      <c r="B22" s="11" t="s">
        <v>66</v>
      </c>
      <c r="C22" s="12">
        <v>46320</v>
      </c>
      <c r="D22" s="12">
        <v>46320</v>
      </c>
      <c r="E22" s="12">
        <v>46321</v>
      </c>
      <c r="F22" s="12">
        <v>46321</v>
      </c>
      <c r="G22" s="13">
        <f t="shared" si="0"/>
        <v>1</v>
      </c>
      <c r="H22" s="14">
        <f t="shared" si="1"/>
        <v>1</v>
      </c>
      <c r="I22" s="15">
        <v>1</v>
      </c>
      <c r="J22" s="16">
        <v>3</v>
      </c>
      <c r="K22" s="10" t="str">
        <f t="shared" si="2"/>
        <v>Hoàn thành</v>
      </c>
      <c r="L22" s="11" t="s">
        <v>67</v>
      </c>
      <c r="M22" s="10" t="s">
        <v>31</v>
      </c>
    </row>
    <row r="23" spans="1:13" x14ac:dyDescent="0.3">
      <c r="A23" s="10" t="s">
        <v>68</v>
      </c>
      <c r="B23" s="11" t="s">
        <v>69</v>
      </c>
      <c r="C23" s="12">
        <v>46320</v>
      </c>
      <c r="D23" s="12">
        <v>46321</v>
      </c>
      <c r="E23" s="12">
        <v>46321</v>
      </c>
      <c r="F23" s="12">
        <v>46321</v>
      </c>
      <c r="G23" s="13">
        <f t="shared" si="0"/>
        <v>2</v>
      </c>
      <c r="H23" s="14">
        <f t="shared" si="1"/>
        <v>0</v>
      </c>
      <c r="I23" s="15">
        <v>1</v>
      </c>
      <c r="J23" s="16">
        <v>8</v>
      </c>
      <c r="K23" s="10" t="str">
        <f t="shared" si="2"/>
        <v>Hoàn thành</v>
      </c>
      <c r="L23" s="11" t="s">
        <v>70</v>
      </c>
      <c r="M23" s="10" t="s">
        <v>31</v>
      </c>
    </row>
    <row r="24" spans="1:13" x14ac:dyDescent="0.3">
      <c r="A24" s="10" t="s">
        <v>71</v>
      </c>
      <c r="B24" s="11" t="s">
        <v>72</v>
      </c>
      <c r="C24" s="12">
        <v>46324</v>
      </c>
      <c r="D24" s="12">
        <v>46324</v>
      </c>
      <c r="E24" s="12">
        <v>46321</v>
      </c>
      <c r="F24" s="12">
        <v>46321</v>
      </c>
      <c r="G24" s="13">
        <f t="shared" si="0"/>
        <v>1</v>
      </c>
      <c r="H24" s="14">
        <f t="shared" si="1"/>
        <v>-3</v>
      </c>
      <c r="I24" s="15">
        <v>1</v>
      </c>
      <c r="J24" s="16">
        <v>8</v>
      </c>
      <c r="K24" s="10" t="str">
        <f t="shared" si="2"/>
        <v>Hoàn thành</v>
      </c>
      <c r="L24" s="11" t="s">
        <v>73</v>
      </c>
      <c r="M24" s="10" t="s">
        <v>25</v>
      </c>
    </row>
    <row r="25" spans="1:13" x14ac:dyDescent="0.3">
      <c r="A25" s="10" t="s">
        <v>74</v>
      </c>
      <c r="B25" s="11" t="s">
        <v>75</v>
      </c>
      <c r="C25" s="12">
        <v>46325</v>
      </c>
      <c r="D25" s="12">
        <v>46325</v>
      </c>
      <c r="E25" s="12">
        <v>46321</v>
      </c>
      <c r="F25" s="12">
        <v>46321</v>
      </c>
      <c r="G25" s="13">
        <f t="shared" si="0"/>
        <v>1</v>
      </c>
      <c r="H25" s="14">
        <f t="shared" si="1"/>
        <v>-4</v>
      </c>
      <c r="I25" s="15">
        <v>1</v>
      </c>
      <c r="J25" s="16">
        <v>6</v>
      </c>
      <c r="K25" s="10" t="str">
        <f t="shared" si="2"/>
        <v>Hoàn thành</v>
      </c>
      <c r="L25" s="11" t="s">
        <v>76</v>
      </c>
      <c r="M25" s="10" t="s">
        <v>35</v>
      </c>
    </row>
    <row r="26" spans="1:13" x14ac:dyDescent="0.3">
      <c r="A26" s="10" t="s">
        <v>77</v>
      </c>
      <c r="B26" s="11" t="s">
        <v>78</v>
      </c>
      <c r="C26" s="12">
        <v>46326</v>
      </c>
      <c r="D26" s="12">
        <v>46326</v>
      </c>
      <c r="E26" s="12">
        <v>46321</v>
      </c>
      <c r="F26" s="12">
        <v>46321</v>
      </c>
      <c r="G26" s="13">
        <f t="shared" si="0"/>
        <v>1</v>
      </c>
      <c r="H26" s="14">
        <f t="shared" si="1"/>
        <v>-5</v>
      </c>
      <c r="I26" s="15">
        <v>1</v>
      </c>
      <c r="J26" s="16">
        <v>8</v>
      </c>
      <c r="K26" s="10" t="str">
        <f t="shared" si="2"/>
        <v>Hoàn thành</v>
      </c>
      <c r="L26" s="11" t="s">
        <v>76</v>
      </c>
      <c r="M26" s="10" t="s">
        <v>35</v>
      </c>
    </row>
    <row r="27" spans="1:13" x14ac:dyDescent="0.3">
      <c r="A27" s="10" t="s">
        <v>79</v>
      </c>
      <c r="B27" s="11" t="s">
        <v>80</v>
      </c>
      <c r="C27" s="12">
        <v>46327</v>
      </c>
      <c r="D27" s="12">
        <v>46327</v>
      </c>
      <c r="E27" s="12">
        <v>46321</v>
      </c>
      <c r="F27" s="12">
        <v>46321</v>
      </c>
      <c r="G27" s="13">
        <f t="shared" si="0"/>
        <v>1</v>
      </c>
      <c r="H27" s="14">
        <f t="shared" si="1"/>
        <v>-6</v>
      </c>
      <c r="I27" s="15">
        <v>1</v>
      </c>
      <c r="J27" s="16">
        <v>6</v>
      </c>
      <c r="K27" s="10" t="str">
        <f t="shared" si="2"/>
        <v>Hoàn thành</v>
      </c>
      <c r="L27" s="11" t="s">
        <v>76</v>
      </c>
      <c r="M27" s="10" t="s">
        <v>35</v>
      </c>
    </row>
    <row r="28" spans="1:13" x14ac:dyDescent="0.3">
      <c r="A28" s="10" t="s">
        <v>81</v>
      </c>
      <c r="B28" s="11" t="s">
        <v>82</v>
      </c>
      <c r="C28" s="12">
        <v>46328</v>
      </c>
      <c r="D28" s="12">
        <v>46328</v>
      </c>
      <c r="E28" s="12">
        <v>46321</v>
      </c>
      <c r="F28" s="12"/>
      <c r="G28" s="13">
        <f t="shared" si="0"/>
        <v>1</v>
      </c>
      <c r="H28" s="14" t="str">
        <f t="shared" si="1"/>
        <v/>
      </c>
      <c r="I28" s="15">
        <v>0.6</v>
      </c>
      <c r="J28" s="16">
        <v>6</v>
      </c>
      <c r="K28" s="10" t="str">
        <f t="shared" si="2"/>
        <v>Đang làm</v>
      </c>
      <c r="L28" s="11" t="s">
        <v>83</v>
      </c>
      <c r="M28" s="10" t="s">
        <v>61</v>
      </c>
    </row>
    <row r="29" spans="1:13" x14ac:dyDescent="0.3">
      <c r="A29" s="6" t="s">
        <v>84</v>
      </c>
      <c r="B29" s="6" t="s">
        <v>85</v>
      </c>
      <c r="C29" s="7">
        <f>MIN(C30:C32)</f>
        <v>46329</v>
      </c>
      <c r="D29" s="7">
        <f>MAX(D30:D32)</f>
        <v>46330</v>
      </c>
      <c r="E29" s="6"/>
      <c r="F29" s="6"/>
      <c r="G29" s="8">
        <f t="shared" si="0"/>
        <v>2</v>
      </c>
      <c r="H29" s="6"/>
      <c r="I29" s="9">
        <f>IFERROR(SUMPRODUCT(I30:I32,J30:J32)/SUM(J30:J32),0)</f>
        <v>0</v>
      </c>
      <c r="J29" s="8">
        <f>SUM(J30:J32)</f>
        <v>7</v>
      </c>
      <c r="K29" s="6"/>
      <c r="L29" s="6"/>
      <c r="M29" s="6"/>
    </row>
    <row r="30" spans="1:13" x14ac:dyDescent="0.3">
      <c r="A30" s="10" t="s">
        <v>86</v>
      </c>
      <c r="B30" s="11" t="s">
        <v>87</v>
      </c>
      <c r="C30" s="12">
        <v>46329</v>
      </c>
      <c r="D30" s="12">
        <v>46329</v>
      </c>
      <c r="E30" s="12"/>
      <c r="F30" s="12"/>
      <c r="G30" s="13">
        <f t="shared" si="0"/>
        <v>1</v>
      </c>
      <c r="H30" s="14" t="str">
        <f>IF(F30="","",F30-D30)</f>
        <v/>
      </c>
      <c r="I30" s="15">
        <v>0</v>
      </c>
      <c r="J30" s="16">
        <v>4</v>
      </c>
      <c r="K30" s="10" t="str">
        <f>IF(I30&gt;=1,"Hoàn thành",IF(I30&gt;0,"Đang làm",IF(D30&lt;$B$2,"Trễ hạn","Chưa bắt đầu")))</f>
        <v>Chưa bắt đầu</v>
      </c>
      <c r="L30" s="11" t="s">
        <v>88</v>
      </c>
      <c r="M30" s="10" t="s">
        <v>89</v>
      </c>
    </row>
    <row r="31" spans="1:13" x14ac:dyDescent="0.3">
      <c r="A31" s="10" t="s">
        <v>90</v>
      </c>
      <c r="B31" s="11" t="s">
        <v>91</v>
      </c>
      <c r="C31" s="12">
        <v>46329</v>
      </c>
      <c r="D31" s="12">
        <v>46329</v>
      </c>
      <c r="E31" s="12"/>
      <c r="F31" s="12"/>
      <c r="G31" s="13">
        <f t="shared" si="0"/>
        <v>1</v>
      </c>
      <c r="H31" s="14" t="str">
        <f>IF(F31="","",F31-D31)</f>
        <v/>
      </c>
      <c r="I31" s="15">
        <v>0</v>
      </c>
      <c r="J31" s="16">
        <v>3</v>
      </c>
      <c r="K31" s="10" t="str">
        <f>IF(I31&gt;=1,"Hoàn thành",IF(I31&gt;0,"Đang làm",IF(D31&lt;$B$2,"Trễ hạn","Chưa bắt đầu")))</f>
        <v>Chưa bắt đầu</v>
      </c>
      <c r="L31" s="11"/>
      <c r="M31" s="10" t="s">
        <v>89</v>
      </c>
    </row>
    <row r="32" spans="1:13" x14ac:dyDescent="0.3">
      <c r="A32" s="10" t="s">
        <v>92</v>
      </c>
      <c r="B32" s="11" t="s">
        <v>93</v>
      </c>
      <c r="C32" s="12">
        <v>46330</v>
      </c>
      <c r="D32" s="12">
        <v>46330</v>
      </c>
      <c r="E32" s="12"/>
      <c r="F32" s="12"/>
      <c r="G32" s="13">
        <f t="shared" si="0"/>
        <v>1</v>
      </c>
      <c r="H32" s="14" t="str">
        <f>IF(F32="","",F32-D32)</f>
        <v/>
      </c>
      <c r="I32" s="15">
        <v>0</v>
      </c>
      <c r="J32" s="16">
        <v>0</v>
      </c>
      <c r="K32" s="10" t="str">
        <f>IF(I32&gt;=1,"Hoàn thành",IF(I32&gt;0,"Đang làm",IF(D32&lt;$B$2,"Trễ hạn","Chưa bắt đầu")))</f>
        <v>Chưa bắt đầu</v>
      </c>
      <c r="L32" s="11" t="s">
        <v>94</v>
      </c>
      <c r="M32" s="10" t="s">
        <v>61</v>
      </c>
    </row>
    <row r="33" spans="1:13" x14ac:dyDescent="0.3">
      <c r="A33" s="6" t="s">
        <v>95</v>
      </c>
      <c r="B33" s="6" t="s">
        <v>96</v>
      </c>
      <c r="C33" s="7">
        <f>MIN(C34:C34)</f>
        <v>46321</v>
      </c>
      <c r="D33" s="7">
        <f>MAX(D34:D34)</f>
        <v>46321</v>
      </c>
      <c r="E33" s="6"/>
      <c r="F33" s="6"/>
      <c r="G33" s="8">
        <f t="shared" si="0"/>
        <v>1</v>
      </c>
      <c r="H33" s="6"/>
      <c r="I33" s="9">
        <f>IFERROR(SUMPRODUCT(I34:I34,J34:J34)/SUM(J34:J34),0)</f>
        <v>1</v>
      </c>
      <c r="J33" s="8">
        <f>SUM(J34:J34)</f>
        <v>2</v>
      </c>
      <c r="K33" s="6"/>
      <c r="L33" s="6"/>
      <c r="M33" s="6"/>
    </row>
    <row r="34" spans="1:13" x14ac:dyDescent="0.3">
      <c r="A34" s="10" t="s">
        <v>97</v>
      </c>
      <c r="B34" s="11" t="s">
        <v>98</v>
      </c>
      <c r="C34" s="12">
        <v>46321</v>
      </c>
      <c r="D34" s="12">
        <v>46321</v>
      </c>
      <c r="E34" s="12">
        <v>46321</v>
      </c>
      <c r="F34" s="12">
        <v>46321</v>
      </c>
      <c r="G34" s="13">
        <f t="shared" si="0"/>
        <v>1</v>
      </c>
      <c r="H34" s="14">
        <f>IF(F34="","",F34-D34)</f>
        <v>0</v>
      </c>
      <c r="I34" s="15">
        <v>1</v>
      </c>
      <c r="J34" s="16">
        <v>2</v>
      </c>
      <c r="K34" s="10" t="str">
        <f>IF(I34&gt;=1,"Hoàn thành",IF(I34&gt;0,"Đang làm",IF(D34&lt;$B$2,"Trễ hạn","Chưa bắt đầu")))</f>
        <v>Hoàn thành</v>
      </c>
      <c r="L34" s="11" t="s">
        <v>99</v>
      </c>
      <c r="M34" s="10" t="s">
        <v>35</v>
      </c>
    </row>
    <row r="36" spans="1:13" x14ac:dyDescent="0.3">
      <c r="B36" s="17" t="s">
        <v>100</v>
      </c>
      <c r="I36" s="18">
        <f>(I6*J6+I9*J9+I13*J13+I19*J19+I29*J29+I33*J33)/(J6+J9+J13+J19+J29+J33)</f>
        <v>0.89702970297029694</v>
      </c>
    </row>
    <row r="37" spans="1:13" x14ac:dyDescent="0.3">
      <c r="B37" s="17" t="s">
        <v>101</v>
      </c>
      <c r="I37" s="19">
        <f>COUNTIF(K6:K34,"Trễ hạn")</f>
        <v>1</v>
      </c>
    </row>
    <row r="38" spans="1:13" x14ac:dyDescent="0.3">
      <c r="B38" s="17" t="s">
        <v>102</v>
      </c>
      <c r="I38" s="19">
        <f>J6+J9+J13+J19+J29+J33</f>
        <v>101</v>
      </c>
    </row>
  </sheetData>
  <conditionalFormatting sqref="H6:H34">
    <cfRule type="cellIs" dxfId="11" priority="3" operator="greaterThan">
      <formula>0</formula>
    </cfRule>
  </conditionalFormatting>
  <conditionalFormatting sqref="K6:K34">
    <cfRule type="cellIs" dxfId="10" priority="1" operator="equal">
      <formula>"Hoàn thành"</formula>
    </cfRule>
    <cfRule type="cellIs" dxfId="9" priority="2" operator="equal">
      <formula>"Trễ hạn"</formula>
    </cfRule>
  </conditionalFormatting>
  <dataValidations count="1">
    <dataValidation type="decimal" sqref="I6:I34" xr:uid="{00000000-0002-0000-0000-000000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40" customWidth="1"/>
    <col min="3" max="20" width="4.21875" customWidth="1"/>
  </cols>
  <sheetData>
    <row r="1" spans="1:20" ht="16.8" x14ac:dyDescent="0.3">
      <c r="A1" s="1" t="s">
        <v>103</v>
      </c>
    </row>
    <row r="2" spans="1:20" x14ac:dyDescent="0.3">
      <c r="A2" s="4" t="s">
        <v>104</v>
      </c>
    </row>
    <row r="3" spans="1:20" x14ac:dyDescent="0.3">
      <c r="C3" s="2" t="s">
        <v>105</v>
      </c>
      <c r="Q3" s="2" t="s">
        <v>106</v>
      </c>
    </row>
    <row r="4" spans="1:20" ht="31.95" customHeight="1" x14ac:dyDescent="0.3">
      <c r="A4" s="5" t="s">
        <v>3</v>
      </c>
      <c r="B4" s="5" t="s">
        <v>4</v>
      </c>
      <c r="C4" s="20">
        <v>46313</v>
      </c>
      <c r="D4" s="20">
        <v>46314</v>
      </c>
      <c r="E4" s="20">
        <v>46315</v>
      </c>
      <c r="F4" s="20">
        <v>46316</v>
      </c>
      <c r="G4" s="20">
        <v>46317</v>
      </c>
      <c r="H4" s="20">
        <v>46318</v>
      </c>
      <c r="I4" s="20">
        <v>46319</v>
      </c>
      <c r="J4" s="20">
        <v>46320</v>
      </c>
      <c r="K4" s="20">
        <v>46321</v>
      </c>
      <c r="L4" s="20">
        <v>46322</v>
      </c>
      <c r="M4" s="20">
        <v>46323</v>
      </c>
      <c r="N4" s="20">
        <v>46324</v>
      </c>
      <c r="O4" s="20">
        <v>46325</v>
      </c>
      <c r="P4" s="20">
        <v>46326</v>
      </c>
      <c r="Q4" s="20">
        <v>46327</v>
      </c>
      <c r="R4" s="20">
        <v>46328</v>
      </c>
      <c r="S4" s="20">
        <v>46329</v>
      </c>
      <c r="T4" s="20">
        <v>46330</v>
      </c>
    </row>
    <row r="5" spans="1:20" x14ac:dyDescent="0.3">
      <c r="A5" s="21" t="str">
        <f>WBS!A6</f>
        <v>1</v>
      </c>
      <c r="B5" s="21" t="str">
        <f>WBS!B6</f>
        <v>Khởi động dự án</v>
      </c>
      <c r="C5" s="22" t="str">
        <f>IF(WBS!$C6="","",IF(AND(WBS!$E6&lt;&gt;"",C$4&gt;=WBS!$E6,C$4&lt;=WBS!$F6),"■",IF(AND(C$4&gt;=WBS!$C6,C$4&lt;=WBS!$D6),"□","")))</f>
        <v>□</v>
      </c>
      <c r="D5" s="22" t="str">
        <f>IF(WBS!$C6="","",IF(AND(WBS!$E6&lt;&gt;"",D$4&gt;=WBS!$E6,D$4&lt;=WBS!$F6),"■",IF(AND(D$4&gt;=WBS!$C6,D$4&lt;=WBS!$D6),"□","")))</f>
        <v/>
      </c>
      <c r="E5" s="22" t="str">
        <f>IF(WBS!$C6="","",IF(AND(WBS!$E6&lt;&gt;"",E$4&gt;=WBS!$E6,E$4&lt;=WBS!$F6),"■",IF(AND(E$4&gt;=WBS!$C6,E$4&lt;=WBS!$D6),"□","")))</f>
        <v/>
      </c>
      <c r="F5" s="22" t="str">
        <f>IF(WBS!$C6="","",IF(AND(WBS!$E6&lt;&gt;"",F$4&gt;=WBS!$E6,F$4&lt;=WBS!$F6),"■",IF(AND(F$4&gt;=WBS!$C6,F$4&lt;=WBS!$D6),"□","")))</f>
        <v/>
      </c>
      <c r="G5" s="22" t="str">
        <f>IF(WBS!$C6="","",IF(AND(WBS!$E6&lt;&gt;"",G$4&gt;=WBS!$E6,G$4&lt;=WBS!$F6),"■",IF(AND(G$4&gt;=WBS!$C6,G$4&lt;=WBS!$D6),"□","")))</f>
        <v/>
      </c>
      <c r="H5" s="22" t="str">
        <f>IF(WBS!$C6="","",IF(AND(WBS!$E6&lt;&gt;"",H$4&gt;=WBS!$E6,H$4&lt;=WBS!$F6),"■",IF(AND(H$4&gt;=WBS!$C6,H$4&lt;=WBS!$D6),"□","")))</f>
        <v/>
      </c>
      <c r="I5" s="22" t="str">
        <f>IF(WBS!$C6="","",IF(AND(WBS!$E6&lt;&gt;"",I$4&gt;=WBS!$E6,I$4&lt;=WBS!$F6),"■",IF(AND(I$4&gt;=WBS!$C6,I$4&lt;=WBS!$D6),"□","")))</f>
        <v/>
      </c>
      <c r="J5" s="22" t="str">
        <f>IF(WBS!$C6="","",IF(AND(WBS!$E6&lt;&gt;"",J$4&gt;=WBS!$E6,J$4&lt;=WBS!$F6),"■",IF(AND(J$4&gt;=WBS!$C6,J$4&lt;=WBS!$D6),"□","")))</f>
        <v/>
      </c>
      <c r="K5" s="22" t="str">
        <f>IF(WBS!$C6="","",IF(AND(WBS!$E6&lt;&gt;"",K$4&gt;=WBS!$E6,K$4&lt;=WBS!$F6),"■",IF(AND(K$4&gt;=WBS!$C6,K$4&lt;=WBS!$D6),"□","")))</f>
        <v/>
      </c>
      <c r="L5" s="22" t="str">
        <f>IF(WBS!$C6="","",IF(AND(WBS!$E6&lt;&gt;"",L$4&gt;=WBS!$E6,L$4&lt;=WBS!$F6),"■",IF(AND(L$4&gt;=WBS!$C6,L$4&lt;=WBS!$D6),"□","")))</f>
        <v/>
      </c>
      <c r="M5" s="22" t="str">
        <f>IF(WBS!$C6="","",IF(AND(WBS!$E6&lt;&gt;"",M$4&gt;=WBS!$E6,M$4&lt;=WBS!$F6),"■",IF(AND(M$4&gt;=WBS!$C6,M$4&lt;=WBS!$D6),"□","")))</f>
        <v/>
      </c>
      <c r="N5" s="22" t="str">
        <f>IF(WBS!$C6="","",IF(AND(WBS!$E6&lt;&gt;"",N$4&gt;=WBS!$E6,N$4&lt;=WBS!$F6),"■",IF(AND(N$4&gt;=WBS!$C6,N$4&lt;=WBS!$D6),"□","")))</f>
        <v/>
      </c>
      <c r="O5" s="22" t="str">
        <f>IF(WBS!$C6="","",IF(AND(WBS!$E6&lt;&gt;"",O$4&gt;=WBS!$E6,O$4&lt;=WBS!$F6),"■",IF(AND(O$4&gt;=WBS!$C6,O$4&lt;=WBS!$D6),"□","")))</f>
        <v/>
      </c>
      <c r="P5" s="22" t="str">
        <f>IF(WBS!$C6="","",IF(AND(WBS!$E6&lt;&gt;"",P$4&gt;=WBS!$E6,P$4&lt;=WBS!$F6),"■",IF(AND(P$4&gt;=WBS!$C6,P$4&lt;=WBS!$D6),"□","")))</f>
        <v/>
      </c>
      <c r="Q5" s="22" t="str">
        <f>IF(WBS!$C6="","",IF(AND(WBS!$E6&lt;&gt;"",Q$4&gt;=WBS!$E6,Q$4&lt;=WBS!$F6),"■",IF(AND(Q$4&gt;=WBS!$C6,Q$4&lt;=WBS!$D6),"□","")))</f>
        <v/>
      </c>
      <c r="R5" s="22" t="str">
        <f>IF(WBS!$C6="","",IF(AND(WBS!$E6&lt;&gt;"",R$4&gt;=WBS!$E6,R$4&lt;=WBS!$F6),"■",IF(AND(R$4&gt;=WBS!$C6,R$4&lt;=WBS!$D6),"□","")))</f>
        <v/>
      </c>
      <c r="S5" s="22" t="str">
        <f>IF(WBS!$C6="","",IF(AND(WBS!$E6&lt;&gt;"",S$4&gt;=WBS!$E6,S$4&lt;=WBS!$F6),"■",IF(AND(S$4&gt;=WBS!$C6,S$4&lt;=WBS!$D6),"□","")))</f>
        <v/>
      </c>
      <c r="T5" s="22" t="str">
        <f>IF(WBS!$C6="","",IF(AND(WBS!$E6&lt;&gt;"",T$4&gt;=WBS!$E6,T$4&lt;=WBS!$F6),"■",IF(AND(T$4&gt;=WBS!$C6,T$4&lt;=WBS!$D6),"□","")))</f>
        <v/>
      </c>
    </row>
    <row r="6" spans="1:20" x14ac:dyDescent="0.3">
      <c r="A6" s="21" t="str">
        <f>WBS!A7</f>
        <v>1.1</v>
      </c>
      <c r="B6" s="21" t="str">
        <f>WBS!B7</f>
        <v>Tạo repo, kế hoạch, cấu trúc thư mục</v>
      </c>
      <c r="C6" s="22" t="str">
        <f>IF(WBS!$C7="","",IF(AND(WBS!$E7&lt;&gt;"",C$4&gt;=WBS!$E7,C$4&lt;=WBS!$F7),"■",IF(AND(C$4&gt;=WBS!$C7,C$4&lt;=WBS!$D7),"□","")))</f>
        <v>□</v>
      </c>
      <c r="D6" s="22" t="str">
        <f>IF(WBS!$C7="","",IF(AND(WBS!$E7&lt;&gt;"",D$4&gt;=WBS!$E7,D$4&lt;=WBS!$F7),"■",IF(AND(D$4&gt;=WBS!$C7,D$4&lt;=WBS!$D7),"□","")))</f>
        <v>■</v>
      </c>
      <c r="E6" s="22" t="str">
        <f>IF(WBS!$C7="","",IF(AND(WBS!$E7&lt;&gt;"",E$4&gt;=WBS!$E7,E$4&lt;=WBS!$F7),"■",IF(AND(E$4&gt;=WBS!$C7,E$4&lt;=WBS!$D7),"□","")))</f>
        <v/>
      </c>
      <c r="F6" s="22" t="str">
        <f>IF(WBS!$C7="","",IF(AND(WBS!$E7&lt;&gt;"",F$4&gt;=WBS!$E7,F$4&lt;=WBS!$F7),"■",IF(AND(F$4&gt;=WBS!$C7,F$4&lt;=WBS!$D7),"□","")))</f>
        <v/>
      </c>
      <c r="G6" s="22" t="str">
        <f>IF(WBS!$C7="","",IF(AND(WBS!$E7&lt;&gt;"",G$4&gt;=WBS!$E7,G$4&lt;=WBS!$F7),"■",IF(AND(G$4&gt;=WBS!$C7,G$4&lt;=WBS!$D7),"□","")))</f>
        <v/>
      </c>
      <c r="H6" s="22" t="str">
        <f>IF(WBS!$C7="","",IF(AND(WBS!$E7&lt;&gt;"",H$4&gt;=WBS!$E7,H$4&lt;=WBS!$F7),"■",IF(AND(H$4&gt;=WBS!$C7,H$4&lt;=WBS!$D7),"□","")))</f>
        <v/>
      </c>
      <c r="I6" s="22" t="str">
        <f>IF(WBS!$C7="","",IF(AND(WBS!$E7&lt;&gt;"",I$4&gt;=WBS!$E7,I$4&lt;=WBS!$F7),"■",IF(AND(I$4&gt;=WBS!$C7,I$4&lt;=WBS!$D7),"□","")))</f>
        <v/>
      </c>
      <c r="J6" s="22" t="str">
        <f>IF(WBS!$C7="","",IF(AND(WBS!$E7&lt;&gt;"",J$4&gt;=WBS!$E7,J$4&lt;=WBS!$F7),"■",IF(AND(J$4&gt;=WBS!$C7,J$4&lt;=WBS!$D7),"□","")))</f>
        <v/>
      </c>
      <c r="K6" s="22" t="str">
        <f>IF(WBS!$C7="","",IF(AND(WBS!$E7&lt;&gt;"",K$4&gt;=WBS!$E7,K$4&lt;=WBS!$F7),"■",IF(AND(K$4&gt;=WBS!$C7,K$4&lt;=WBS!$D7),"□","")))</f>
        <v/>
      </c>
      <c r="L6" s="22" t="str">
        <f>IF(WBS!$C7="","",IF(AND(WBS!$E7&lt;&gt;"",L$4&gt;=WBS!$E7,L$4&lt;=WBS!$F7),"■",IF(AND(L$4&gt;=WBS!$C7,L$4&lt;=WBS!$D7),"□","")))</f>
        <v/>
      </c>
      <c r="M6" s="22" t="str">
        <f>IF(WBS!$C7="","",IF(AND(WBS!$E7&lt;&gt;"",M$4&gt;=WBS!$E7,M$4&lt;=WBS!$F7),"■",IF(AND(M$4&gt;=WBS!$C7,M$4&lt;=WBS!$D7),"□","")))</f>
        <v/>
      </c>
      <c r="N6" s="22" t="str">
        <f>IF(WBS!$C7="","",IF(AND(WBS!$E7&lt;&gt;"",N$4&gt;=WBS!$E7,N$4&lt;=WBS!$F7),"■",IF(AND(N$4&gt;=WBS!$C7,N$4&lt;=WBS!$D7),"□","")))</f>
        <v/>
      </c>
      <c r="O6" s="22" t="str">
        <f>IF(WBS!$C7="","",IF(AND(WBS!$E7&lt;&gt;"",O$4&gt;=WBS!$E7,O$4&lt;=WBS!$F7),"■",IF(AND(O$4&gt;=WBS!$C7,O$4&lt;=WBS!$D7),"□","")))</f>
        <v/>
      </c>
      <c r="P6" s="22" t="str">
        <f>IF(WBS!$C7="","",IF(AND(WBS!$E7&lt;&gt;"",P$4&gt;=WBS!$E7,P$4&lt;=WBS!$F7),"■",IF(AND(P$4&gt;=WBS!$C7,P$4&lt;=WBS!$D7),"□","")))</f>
        <v/>
      </c>
      <c r="Q6" s="22" t="str">
        <f>IF(WBS!$C7="","",IF(AND(WBS!$E7&lt;&gt;"",Q$4&gt;=WBS!$E7,Q$4&lt;=WBS!$F7),"■",IF(AND(Q$4&gt;=WBS!$C7,Q$4&lt;=WBS!$D7),"□","")))</f>
        <v/>
      </c>
      <c r="R6" s="22" t="str">
        <f>IF(WBS!$C7="","",IF(AND(WBS!$E7&lt;&gt;"",R$4&gt;=WBS!$E7,R$4&lt;=WBS!$F7),"■",IF(AND(R$4&gt;=WBS!$C7,R$4&lt;=WBS!$D7),"□","")))</f>
        <v/>
      </c>
      <c r="S6" s="22" t="str">
        <f>IF(WBS!$C7="","",IF(AND(WBS!$E7&lt;&gt;"",S$4&gt;=WBS!$E7,S$4&lt;=WBS!$F7),"■",IF(AND(S$4&gt;=WBS!$C7,S$4&lt;=WBS!$D7),"□","")))</f>
        <v/>
      </c>
      <c r="T6" s="22" t="str">
        <f>IF(WBS!$C7="","",IF(AND(WBS!$E7&lt;&gt;"",T$4&gt;=WBS!$E7,T$4&lt;=WBS!$F7),"■",IF(AND(T$4&gt;=WBS!$C7,T$4&lt;=WBS!$D7),"□","")))</f>
        <v/>
      </c>
    </row>
    <row r="7" spans="1:20" x14ac:dyDescent="0.3">
      <c r="A7" s="21" t="str">
        <f>WBS!A8</f>
        <v>1.2</v>
      </c>
      <c r="B7" s="21" t="str">
        <f>WBS!B8</f>
        <v>Gửi email xin dữ liệu gốc cho tác giả</v>
      </c>
      <c r="C7" s="22" t="str">
        <f>IF(WBS!$C8="","",IF(AND(WBS!$E8&lt;&gt;"",C$4&gt;=WBS!$E8,C$4&lt;=WBS!$F8),"■",IF(AND(C$4&gt;=WBS!$C8,C$4&lt;=WBS!$D8),"□","")))</f>
        <v>□</v>
      </c>
      <c r="D7" s="22" t="str">
        <f>IF(WBS!$C8="","",IF(AND(WBS!$E8&lt;&gt;"",D$4&gt;=WBS!$E8,D$4&lt;=WBS!$F8),"■",IF(AND(D$4&gt;=WBS!$C8,D$4&lt;=WBS!$D8),"□","")))</f>
        <v/>
      </c>
      <c r="E7" s="22" t="str">
        <f>IF(WBS!$C8="","",IF(AND(WBS!$E8&lt;&gt;"",E$4&gt;=WBS!$E8,E$4&lt;=WBS!$F8),"■",IF(AND(E$4&gt;=WBS!$C8,E$4&lt;=WBS!$D8),"□","")))</f>
        <v/>
      </c>
      <c r="F7" s="22" t="str">
        <f>IF(WBS!$C8="","",IF(AND(WBS!$E8&lt;&gt;"",F$4&gt;=WBS!$E8,F$4&lt;=WBS!$F8),"■",IF(AND(F$4&gt;=WBS!$C8,F$4&lt;=WBS!$D8),"□","")))</f>
        <v/>
      </c>
      <c r="G7" s="22" t="str">
        <f>IF(WBS!$C8="","",IF(AND(WBS!$E8&lt;&gt;"",G$4&gt;=WBS!$E8,G$4&lt;=WBS!$F8),"■",IF(AND(G$4&gt;=WBS!$C8,G$4&lt;=WBS!$D8),"□","")))</f>
        <v/>
      </c>
      <c r="H7" s="22" t="str">
        <f>IF(WBS!$C8="","",IF(AND(WBS!$E8&lt;&gt;"",H$4&gt;=WBS!$E8,H$4&lt;=WBS!$F8),"■",IF(AND(H$4&gt;=WBS!$C8,H$4&lt;=WBS!$D8),"□","")))</f>
        <v/>
      </c>
      <c r="I7" s="22" t="str">
        <f>IF(WBS!$C8="","",IF(AND(WBS!$E8&lt;&gt;"",I$4&gt;=WBS!$E8,I$4&lt;=WBS!$F8),"■",IF(AND(I$4&gt;=WBS!$C8,I$4&lt;=WBS!$D8),"□","")))</f>
        <v/>
      </c>
      <c r="J7" s="22" t="str">
        <f>IF(WBS!$C8="","",IF(AND(WBS!$E8&lt;&gt;"",J$4&gt;=WBS!$E8,J$4&lt;=WBS!$F8),"■",IF(AND(J$4&gt;=WBS!$C8,J$4&lt;=WBS!$D8),"□","")))</f>
        <v/>
      </c>
      <c r="K7" s="22" t="str">
        <f>IF(WBS!$C8="","",IF(AND(WBS!$E8&lt;&gt;"",K$4&gt;=WBS!$E8,K$4&lt;=WBS!$F8),"■",IF(AND(K$4&gt;=WBS!$C8,K$4&lt;=WBS!$D8),"□","")))</f>
        <v/>
      </c>
      <c r="L7" s="22" t="str">
        <f>IF(WBS!$C8="","",IF(AND(WBS!$E8&lt;&gt;"",L$4&gt;=WBS!$E8,L$4&lt;=WBS!$F8),"■",IF(AND(L$4&gt;=WBS!$C8,L$4&lt;=WBS!$D8),"□","")))</f>
        <v/>
      </c>
      <c r="M7" s="22" t="str">
        <f>IF(WBS!$C8="","",IF(AND(WBS!$E8&lt;&gt;"",M$4&gt;=WBS!$E8,M$4&lt;=WBS!$F8),"■",IF(AND(M$4&gt;=WBS!$C8,M$4&lt;=WBS!$D8),"□","")))</f>
        <v/>
      </c>
      <c r="N7" s="22" t="str">
        <f>IF(WBS!$C8="","",IF(AND(WBS!$E8&lt;&gt;"",N$4&gt;=WBS!$E8,N$4&lt;=WBS!$F8),"■",IF(AND(N$4&gt;=WBS!$C8,N$4&lt;=WBS!$D8),"□","")))</f>
        <v/>
      </c>
      <c r="O7" s="22" t="str">
        <f>IF(WBS!$C8="","",IF(AND(WBS!$E8&lt;&gt;"",O$4&gt;=WBS!$E8,O$4&lt;=WBS!$F8),"■",IF(AND(O$4&gt;=WBS!$C8,O$4&lt;=WBS!$D8),"□","")))</f>
        <v/>
      </c>
      <c r="P7" s="22" t="str">
        <f>IF(WBS!$C8="","",IF(AND(WBS!$E8&lt;&gt;"",P$4&gt;=WBS!$E8,P$4&lt;=WBS!$F8),"■",IF(AND(P$4&gt;=WBS!$C8,P$4&lt;=WBS!$D8),"□","")))</f>
        <v/>
      </c>
      <c r="Q7" s="22" t="str">
        <f>IF(WBS!$C8="","",IF(AND(WBS!$E8&lt;&gt;"",Q$4&gt;=WBS!$E8,Q$4&lt;=WBS!$F8),"■",IF(AND(Q$4&gt;=WBS!$C8,Q$4&lt;=WBS!$D8),"□","")))</f>
        <v/>
      </c>
      <c r="R7" s="22" t="str">
        <f>IF(WBS!$C8="","",IF(AND(WBS!$E8&lt;&gt;"",R$4&gt;=WBS!$E8,R$4&lt;=WBS!$F8),"■",IF(AND(R$4&gt;=WBS!$C8,R$4&lt;=WBS!$D8),"□","")))</f>
        <v/>
      </c>
      <c r="S7" s="22" t="str">
        <f>IF(WBS!$C8="","",IF(AND(WBS!$E8&lt;&gt;"",S$4&gt;=WBS!$E8,S$4&lt;=WBS!$F8),"■",IF(AND(S$4&gt;=WBS!$C8,S$4&lt;=WBS!$D8),"□","")))</f>
        <v/>
      </c>
      <c r="T7" s="22" t="str">
        <f>IF(WBS!$C8="","",IF(AND(WBS!$E8&lt;&gt;"",T$4&gt;=WBS!$E8,T$4&lt;=WBS!$F8),"■",IF(AND(T$4&gt;=WBS!$C8,T$4&lt;=WBS!$D8),"□","")))</f>
        <v/>
      </c>
    </row>
    <row r="8" spans="1:20" x14ac:dyDescent="0.3">
      <c r="A8" s="21" t="str">
        <f>WBS!A9</f>
        <v>2</v>
      </c>
      <c r="B8" s="21" t="str">
        <f>WBS!B9</f>
        <v>Đọc hiểu bài báo</v>
      </c>
      <c r="C8" s="22" t="str">
        <f>IF(WBS!$C9="","",IF(AND(WBS!$E9&lt;&gt;"",C$4&gt;=WBS!$E9,C$4&lt;=WBS!$F9),"■",IF(AND(C$4&gt;=WBS!$C9,C$4&lt;=WBS!$D9),"□","")))</f>
        <v/>
      </c>
      <c r="D8" s="22" t="str">
        <f>IF(WBS!$C9="","",IF(AND(WBS!$E9&lt;&gt;"",D$4&gt;=WBS!$E9,D$4&lt;=WBS!$F9),"■",IF(AND(D$4&gt;=WBS!$C9,D$4&lt;=WBS!$D9),"□","")))</f>
        <v>□</v>
      </c>
      <c r="E8" s="22" t="str">
        <f>IF(WBS!$C9="","",IF(AND(WBS!$E9&lt;&gt;"",E$4&gt;=WBS!$E9,E$4&lt;=WBS!$F9),"■",IF(AND(E$4&gt;=WBS!$C9,E$4&lt;=WBS!$D9),"□","")))</f>
        <v>□</v>
      </c>
      <c r="F8" s="22" t="str">
        <f>IF(WBS!$C9="","",IF(AND(WBS!$E9&lt;&gt;"",F$4&gt;=WBS!$E9,F$4&lt;=WBS!$F9),"■",IF(AND(F$4&gt;=WBS!$C9,F$4&lt;=WBS!$D9),"□","")))</f>
        <v>□</v>
      </c>
      <c r="G8" s="22" t="str">
        <f>IF(WBS!$C9="","",IF(AND(WBS!$E9&lt;&gt;"",G$4&gt;=WBS!$E9,G$4&lt;=WBS!$F9),"■",IF(AND(G$4&gt;=WBS!$C9,G$4&lt;=WBS!$D9),"□","")))</f>
        <v/>
      </c>
      <c r="H8" s="22" t="str">
        <f>IF(WBS!$C9="","",IF(AND(WBS!$E9&lt;&gt;"",H$4&gt;=WBS!$E9,H$4&lt;=WBS!$F9),"■",IF(AND(H$4&gt;=WBS!$C9,H$4&lt;=WBS!$D9),"□","")))</f>
        <v/>
      </c>
      <c r="I8" s="22" t="str">
        <f>IF(WBS!$C9="","",IF(AND(WBS!$E9&lt;&gt;"",I$4&gt;=WBS!$E9,I$4&lt;=WBS!$F9),"■",IF(AND(I$4&gt;=WBS!$C9,I$4&lt;=WBS!$D9),"□","")))</f>
        <v/>
      </c>
      <c r="J8" s="22" t="str">
        <f>IF(WBS!$C9="","",IF(AND(WBS!$E9&lt;&gt;"",J$4&gt;=WBS!$E9,J$4&lt;=WBS!$F9),"■",IF(AND(J$4&gt;=WBS!$C9,J$4&lt;=WBS!$D9),"□","")))</f>
        <v/>
      </c>
      <c r="K8" s="22" t="str">
        <f>IF(WBS!$C9="","",IF(AND(WBS!$E9&lt;&gt;"",K$4&gt;=WBS!$E9,K$4&lt;=WBS!$F9),"■",IF(AND(K$4&gt;=WBS!$C9,K$4&lt;=WBS!$D9),"□","")))</f>
        <v/>
      </c>
      <c r="L8" s="22" t="str">
        <f>IF(WBS!$C9="","",IF(AND(WBS!$E9&lt;&gt;"",L$4&gt;=WBS!$E9,L$4&lt;=WBS!$F9),"■",IF(AND(L$4&gt;=WBS!$C9,L$4&lt;=WBS!$D9),"□","")))</f>
        <v/>
      </c>
      <c r="M8" s="22" t="str">
        <f>IF(WBS!$C9="","",IF(AND(WBS!$E9&lt;&gt;"",M$4&gt;=WBS!$E9,M$4&lt;=WBS!$F9),"■",IF(AND(M$4&gt;=WBS!$C9,M$4&lt;=WBS!$D9),"□","")))</f>
        <v/>
      </c>
      <c r="N8" s="22" t="str">
        <f>IF(WBS!$C9="","",IF(AND(WBS!$E9&lt;&gt;"",N$4&gt;=WBS!$E9,N$4&lt;=WBS!$F9),"■",IF(AND(N$4&gt;=WBS!$C9,N$4&lt;=WBS!$D9),"□","")))</f>
        <v/>
      </c>
      <c r="O8" s="22" t="str">
        <f>IF(WBS!$C9="","",IF(AND(WBS!$E9&lt;&gt;"",O$4&gt;=WBS!$E9,O$4&lt;=WBS!$F9),"■",IF(AND(O$4&gt;=WBS!$C9,O$4&lt;=WBS!$D9),"□","")))</f>
        <v/>
      </c>
      <c r="P8" s="22" t="str">
        <f>IF(WBS!$C9="","",IF(AND(WBS!$E9&lt;&gt;"",P$4&gt;=WBS!$E9,P$4&lt;=WBS!$F9),"■",IF(AND(P$4&gt;=WBS!$C9,P$4&lt;=WBS!$D9),"□","")))</f>
        <v/>
      </c>
      <c r="Q8" s="22" t="str">
        <f>IF(WBS!$C9="","",IF(AND(WBS!$E9&lt;&gt;"",Q$4&gt;=WBS!$E9,Q$4&lt;=WBS!$F9),"■",IF(AND(Q$4&gt;=WBS!$C9,Q$4&lt;=WBS!$D9),"□","")))</f>
        <v/>
      </c>
      <c r="R8" s="22" t="str">
        <f>IF(WBS!$C9="","",IF(AND(WBS!$E9&lt;&gt;"",R$4&gt;=WBS!$E9,R$4&lt;=WBS!$F9),"■",IF(AND(R$4&gt;=WBS!$C9,R$4&lt;=WBS!$D9),"□","")))</f>
        <v/>
      </c>
      <c r="S8" s="22" t="str">
        <f>IF(WBS!$C9="","",IF(AND(WBS!$E9&lt;&gt;"",S$4&gt;=WBS!$E9,S$4&lt;=WBS!$F9),"■",IF(AND(S$4&gt;=WBS!$C9,S$4&lt;=WBS!$D9),"□","")))</f>
        <v/>
      </c>
      <c r="T8" s="22" t="str">
        <f>IF(WBS!$C9="","",IF(AND(WBS!$E9&lt;&gt;"",T$4&gt;=WBS!$E9,T$4&lt;=WBS!$F9),"■",IF(AND(T$4&gt;=WBS!$C9,T$4&lt;=WBS!$D9),"□","")))</f>
        <v/>
      </c>
    </row>
    <row r="9" spans="1:20" x14ac:dyDescent="0.3">
      <c r="A9" s="21" t="str">
        <f>WBS!A10</f>
        <v>2.1</v>
      </c>
      <c r="B9" s="21" t="str">
        <f>WBS!B10</f>
        <v>Ghi chú mục 1–3, bảng thuật ngữ</v>
      </c>
      <c r="C9" s="22" t="str">
        <f>IF(WBS!$C10="","",IF(AND(WBS!$E10&lt;&gt;"",C$4&gt;=WBS!$E10,C$4&lt;=WBS!$F10),"■",IF(AND(C$4&gt;=WBS!$C10,C$4&lt;=WBS!$D10),"□","")))</f>
        <v/>
      </c>
      <c r="D9" s="22" t="str">
        <f>IF(WBS!$C10="","",IF(AND(WBS!$E10&lt;&gt;"",D$4&gt;=WBS!$E10,D$4&lt;=WBS!$F10),"■",IF(AND(D$4&gt;=WBS!$C10,D$4&lt;=WBS!$D10),"□","")))</f>
        <v>□</v>
      </c>
      <c r="E9" s="22" t="str">
        <f>IF(WBS!$C10="","",IF(AND(WBS!$E10&lt;&gt;"",E$4&gt;=WBS!$E10,E$4&lt;=WBS!$F10),"■",IF(AND(E$4&gt;=WBS!$C10,E$4&lt;=WBS!$D10),"□","")))</f>
        <v>■</v>
      </c>
      <c r="F9" s="22" t="str">
        <f>IF(WBS!$C10="","",IF(AND(WBS!$E10&lt;&gt;"",F$4&gt;=WBS!$E10,F$4&lt;=WBS!$F10),"■",IF(AND(F$4&gt;=WBS!$C10,F$4&lt;=WBS!$D10),"□","")))</f>
        <v/>
      </c>
      <c r="G9" s="22" t="str">
        <f>IF(WBS!$C10="","",IF(AND(WBS!$E10&lt;&gt;"",G$4&gt;=WBS!$E10,G$4&lt;=WBS!$F10),"■",IF(AND(G$4&gt;=WBS!$C10,G$4&lt;=WBS!$D10),"□","")))</f>
        <v/>
      </c>
      <c r="H9" s="22" t="str">
        <f>IF(WBS!$C10="","",IF(AND(WBS!$E10&lt;&gt;"",H$4&gt;=WBS!$E10,H$4&lt;=WBS!$F10),"■",IF(AND(H$4&gt;=WBS!$C10,H$4&lt;=WBS!$D10),"□","")))</f>
        <v/>
      </c>
      <c r="I9" s="22" t="str">
        <f>IF(WBS!$C10="","",IF(AND(WBS!$E10&lt;&gt;"",I$4&gt;=WBS!$E10,I$4&lt;=WBS!$F10),"■",IF(AND(I$4&gt;=WBS!$C10,I$4&lt;=WBS!$D10),"□","")))</f>
        <v/>
      </c>
      <c r="J9" s="22" t="str">
        <f>IF(WBS!$C10="","",IF(AND(WBS!$E10&lt;&gt;"",J$4&gt;=WBS!$E10,J$4&lt;=WBS!$F10),"■",IF(AND(J$4&gt;=WBS!$C10,J$4&lt;=WBS!$D10),"□","")))</f>
        <v/>
      </c>
      <c r="K9" s="22" t="str">
        <f>IF(WBS!$C10="","",IF(AND(WBS!$E10&lt;&gt;"",K$4&gt;=WBS!$E10,K$4&lt;=WBS!$F10),"■",IF(AND(K$4&gt;=WBS!$C10,K$4&lt;=WBS!$D10),"□","")))</f>
        <v/>
      </c>
      <c r="L9" s="22" t="str">
        <f>IF(WBS!$C10="","",IF(AND(WBS!$E10&lt;&gt;"",L$4&gt;=WBS!$E10,L$4&lt;=WBS!$F10),"■",IF(AND(L$4&gt;=WBS!$C10,L$4&lt;=WBS!$D10),"□","")))</f>
        <v/>
      </c>
      <c r="M9" s="22" t="str">
        <f>IF(WBS!$C10="","",IF(AND(WBS!$E10&lt;&gt;"",M$4&gt;=WBS!$E10,M$4&lt;=WBS!$F10),"■",IF(AND(M$4&gt;=WBS!$C10,M$4&lt;=WBS!$D10),"□","")))</f>
        <v/>
      </c>
      <c r="N9" s="22" t="str">
        <f>IF(WBS!$C10="","",IF(AND(WBS!$E10&lt;&gt;"",N$4&gt;=WBS!$E10,N$4&lt;=WBS!$F10),"■",IF(AND(N$4&gt;=WBS!$C10,N$4&lt;=WBS!$D10),"□","")))</f>
        <v/>
      </c>
      <c r="O9" s="22" t="str">
        <f>IF(WBS!$C10="","",IF(AND(WBS!$E10&lt;&gt;"",O$4&gt;=WBS!$E10,O$4&lt;=WBS!$F10),"■",IF(AND(O$4&gt;=WBS!$C10,O$4&lt;=WBS!$D10),"□","")))</f>
        <v/>
      </c>
      <c r="P9" s="22" t="str">
        <f>IF(WBS!$C10="","",IF(AND(WBS!$E10&lt;&gt;"",P$4&gt;=WBS!$E10,P$4&lt;=WBS!$F10),"■",IF(AND(P$4&gt;=WBS!$C10,P$4&lt;=WBS!$D10),"□","")))</f>
        <v/>
      </c>
      <c r="Q9" s="22" t="str">
        <f>IF(WBS!$C10="","",IF(AND(WBS!$E10&lt;&gt;"",Q$4&gt;=WBS!$E10,Q$4&lt;=WBS!$F10),"■",IF(AND(Q$4&gt;=WBS!$C10,Q$4&lt;=WBS!$D10),"□","")))</f>
        <v/>
      </c>
      <c r="R9" s="22" t="str">
        <f>IF(WBS!$C10="","",IF(AND(WBS!$E10&lt;&gt;"",R$4&gt;=WBS!$E10,R$4&lt;=WBS!$F10),"■",IF(AND(R$4&gt;=WBS!$C10,R$4&lt;=WBS!$D10),"□","")))</f>
        <v/>
      </c>
      <c r="S9" s="22" t="str">
        <f>IF(WBS!$C10="","",IF(AND(WBS!$E10&lt;&gt;"",S$4&gt;=WBS!$E10,S$4&lt;=WBS!$F10),"■",IF(AND(S$4&gt;=WBS!$C10,S$4&lt;=WBS!$D10),"□","")))</f>
        <v/>
      </c>
      <c r="T9" s="22" t="str">
        <f>IF(WBS!$C10="","",IF(AND(WBS!$E10&lt;&gt;"",T$4&gt;=WBS!$E10,T$4&lt;=WBS!$F10),"■",IF(AND(T$4&gt;=WBS!$C10,T$4&lt;=WBS!$D10),"□","")))</f>
        <v/>
      </c>
    </row>
    <row r="10" spans="1:20" x14ac:dyDescent="0.3">
      <c r="A10" s="21" t="str">
        <f>WBS!A11</f>
        <v>2.2</v>
      </c>
      <c r="B10" s="21" t="str">
        <f>WBS!B11</f>
        <v>Ghi chú kết quả, tổng hợp điểm mâu thuẫn</v>
      </c>
      <c r="C10" s="22" t="str">
        <f>IF(WBS!$C11="","",IF(AND(WBS!$E11&lt;&gt;"",C$4&gt;=WBS!$E11,C$4&lt;=WBS!$F11),"■",IF(AND(C$4&gt;=WBS!$C11,C$4&lt;=WBS!$D11),"□","")))</f>
        <v/>
      </c>
      <c r="D10" s="22" t="str">
        <f>IF(WBS!$C11="","",IF(AND(WBS!$E11&lt;&gt;"",D$4&gt;=WBS!$E11,D$4&lt;=WBS!$F11),"■",IF(AND(D$4&gt;=WBS!$C11,D$4&lt;=WBS!$D11),"□","")))</f>
        <v/>
      </c>
      <c r="E10" s="22" t="str">
        <f>IF(WBS!$C11="","",IF(AND(WBS!$E11&lt;&gt;"",E$4&gt;=WBS!$E11,E$4&lt;=WBS!$F11),"■",IF(AND(E$4&gt;=WBS!$C11,E$4&lt;=WBS!$D11),"□","")))</f>
        <v>■</v>
      </c>
      <c r="F10" s="22" t="str">
        <f>IF(WBS!$C11="","",IF(AND(WBS!$E11&lt;&gt;"",F$4&gt;=WBS!$E11,F$4&lt;=WBS!$F11),"■",IF(AND(F$4&gt;=WBS!$C11,F$4&lt;=WBS!$D11),"□","")))</f>
        <v>□</v>
      </c>
      <c r="G10" s="22" t="str">
        <f>IF(WBS!$C11="","",IF(AND(WBS!$E11&lt;&gt;"",G$4&gt;=WBS!$E11,G$4&lt;=WBS!$F11),"■",IF(AND(G$4&gt;=WBS!$C11,G$4&lt;=WBS!$D11),"□","")))</f>
        <v/>
      </c>
      <c r="H10" s="22" t="str">
        <f>IF(WBS!$C11="","",IF(AND(WBS!$E11&lt;&gt;"",H$4&gt;=WBS!$E11,H$4&lt;=WBS!$F11),"■",IF(AND(H$4&gt;=WBS!$C11,H$4&lt;=WBS!$D11),"□","")))</f>
        <v/>
      </c>
      <c r="I10" s="22" t="str">
        <f>IF(WBS!$C11="","",IF(AND(WBS!$E11&lt;&gt;"",I$4&gt;=WBS!$E11,I$4&lt;=WBS!$F11),"■",IF(AND(I$4&gt;=WBS!$C11,I$4&lt;=WBS!$D11),"□","")))</f>
        <v/>
      </c>
      <c r="J10" s="22" t="str">
        <f>IF(WBS!$C11="","",IF(AND(WBS!$E11&lt;&gt;"",J$4&gt;=WBS!$E11,J$4&lt;=WBS!$F11),"■",IF(AND(J$4&gt;=WBS!$C11,J$4&lt;=WBS!$D11),"□","")))</f>
        <v/>
      </c>
      <c r="K10" s="22" t="str">
        <f>IF(WBS!$C11="","",IF(AND(WBS!$E11&lt;&gt;"",K$4&gt;=WBS!$E11,K$4&lt;=WBS!$F11),"■",IF(AND(K$4&gt;=WBS!$C11,K$4&lt;=WBS!$D11),"□","")))</f>
        <v/>
      </c>
      <c r="L10" s="22" t="str">
        <f>IF(WBS!$C11="","",IF(AND(WBS!$E11&lt;&gt;"",L$4&gt;=WBS!$E11,L$4&lt;=WBS!$F11),"■",IF(AND(L$4&gt;=WBS!$C11,L$4&lt;=WBS!$D11),"□","")))</f>
        <v/>
      </c>
      <c r="M10" s="22" t="str">
        <f>IF(WBS!$C11="","",IF(AND(WBS!$E11&lt;&gt;"",M$4&gt;=WBS!$E11,M$4&lt;=WBS!$F11),"■",IF(AND(M$4&gt;=WBS!$C11,M$4&lt;=WBS!$D11),"□","")))</f>
        <v/>
      </c>
      <c r="N10" s="22" t="str">
        <f>IF(WBS!$C11="","",IF(AND(WBS!$E11&lt;&gt;"",N$4&gt;=WBS!$E11,N$4&lt;=WBS!$F11),"■",IF(AND(N$4&gt;=WBS!$C11,N$4&lt;=WBS!$D11),"□","")))</f>
        <v/>
      </c>
      <c r="O10" s="22" t="str">
        <f>IF(WBS!$C11="","",IF(AND(WBS!$E11&lt;&gt;"",O$4&gt;=WBS!$E11,O$4&lt;=WBS!$F11),"■",IF(AND(O$4&gt;=WBS!$C11,O$4&lt;=WBS!$D11),"□","")))</f>
        <v/>
      </c>
      <c r="P10" s="22" t="str">
        <f>IF(WBS!$C11="","",IF(AND(WBS!$E11&lt;&gt;"",P$4&gt;=WBS!$E11,P$4&lt;=WBS!$F11),"■",IF(AND(P$4&gt;=WBS!$C11,P$4&lt;=WBS!$D11),"□","")))</f>
        <v/>
      </c>
      <c r="Q10" s="22" t="str">
        <f>IF(WBS!$C11="","",IF(AND(WBS!$E11&lt;&gt;"",Q$4&gt;=WBS!$E11,Q$4&lt;=WBS!$F11),"■",IF(AND(Q$4&gt;=WBS!$C11,Q$4&lt;=WBS!$D11),"□","")))</f>
        <v/>
      </c>
      <c r="R10" s="22" t="str">
        <f>IF(WBS!$C11="","",IF(AND(WBS!$E11&lt;&gt;"",R$4&gt;=WBS!$E11,R$4&lt;=WBS!$F11),"■",IF(AND(R$4&gt;=WBS!$C11,R$4&lt;=WBS!$D11),"□","")))</f>
        <v/>
      </c>
      <c r="S10" s="22" t="str">
        <f>IF(WBS!$C11="","",IF(AND(WBS!$E11&lt;&gt;"",S$4&gt;=WBS!$E11,S$4&lt;=WBS!$F11),"■",IF(AND(S$4&gt;=WBS!$C11,S$4&lt;=WBS!$D11),"□","")))</f>
        <v/>
      </c>
      <c r="T10" s="22" t="str">
        <f>IF(WBS!$C11="","",IF(AND(WBS!$E11&lt;&gt;"",T$4&gt;=WBS!$E11,T$4&lt;=WBS!$F11),"■",IF(AND(T$4&gt;=WBS!$C11,T$4&lt;=WBS!$D11),"□","")))</f>
        <v/>
      </c>
    </row>
    <row r="11" spans="1:20" x14ac:dyDescent="0.3">
      <c r="A11" s="21" t="str">
        <f>WBS!A12</f>
        <v>2.3</v>
      </c>
      <c r="B11" s="21" t="str">
        <f>WBS!B12</f>
        <v>Lập danh sách tài liệu tham khảo</v>
      </c>
      <c r="C11" s="22" t="str">
        <f>IF(WBS!$C12="","",IF(AND(WBS!$E12&lt;&gt;"",C$4&gt;=WBS!$E12,C$4&lt;=WBS!$F12),"■",IF(AND(C$4&gt;=WBS!$C12,C$4&lt;=WBS!$D12),"□","")))</f>
        <v/>
      </c>
      <c r="D11" s="22" t="str">
        <f>IF(WBS!$C12="","",IF(AND(WBS!$E12&lt;&gt;"",D$4&gt;=WBS!$E12,D$4&lt;=WBS!$F12),"■",IF(AND(D$4&gt;=WBS!$C12,D$4&lt;=WBS!$D12),"□","")))</f>
        <v/>
      </c>
      <c r="E11" s="22" t="str">
        <f>IF(WBS!$C12="","",IF(AND(WBS!$E12&lt;&gt;"",E$4&gt;=WBS!$E12,E$4&lt;=WBS!$F12),"■",IF(AND(E$4&gt;=WBS!$C12,E$4&lt;=WBS!$D12),"□","")))</f>
        <v>■</v>
      </c>
      <c r="F11" s="22" t="str">
        <f>IF(WBS!$C12="","",IF(AND(WBS!$E12&lt;&gt;"",F$4&gt;=WBS!$E12,F$4&lt;=WBS!$F12),"■",IF(AND(F$4&gt;=WBS!$C12,F$4&lt;=WBS!$D12),"□","")))</f>
        <v>□</v>
      </c>
      <c r="G11" s="22" t="str">
        <f>IF(WBS!$C12="","",IF(AND(WBS!$E12&lt;&gt;"",G$4&gt;=WBS!$E12,G$4&lt;=WBS!$F12),"■",IF(AND(G$4&gt;=WBS!$C12,G$4&lt;=WBS!$D12),"□","")))</f>
        <v/>
      </c>
      <c r="H11" s="22" t="str">
        <f>IF(WBS!$C12="","",IF(AND(WBS!$E12&lt;&gt;"",H$4&gt;=WBS!$E12,H$4&lt;=WBS!$F12),"■",IF(AND(H$4&gt;=WBS!$C12,H$4&lt;=WBS!$D12),"□","")))</f>
        <v/>
      </c>
      <c r="I11" s="22" t="str">
        <f>IF(WBS!$C12="","",IF(AND(WBS!$E12&lt;&gt;"",I$4&gt;=WBS!$E12,I$4&lt;=WBS!$F12),"■",IF(AND(I$4&gt;=WBS!$C12,I$4&lt;=WBS!$D12),"□","")))</f>
        <v/>
      </c>
      <c r="J11" s="22" t="str">
        <f>IF(WBS!$C12="","",IF(AND(WBS!$E12&lt;&gt;"",J$4&gt;=WBS!$E12,J$4&lt;=WBS!$F12),"■",IF(AND(J$4&gt;=WBS!$C12,J$4&lt;=WBS!$D12),"□","")))</f>
        <v/>
      </c>
      <c r="K11" s="22" t="str">
        <f>IF(WBS!$C12="","",IF(AND(WBS!$E12&lt;&gt;"",K$4&gt;=WBS!$E12,K$4&lt;=WBS!$F12),"■",IF(AND(K$4&gt;=WBS!$C12,K$4&lt;=WBS!$D12),"□","")))</f>
        <v/>
      </c>
      <c r="L11" s="22" t="str">
        <f>IF(WBS!$C12="","",IF(AND(WBS!$E12&lt;&gt;"",L$4&gt;=WBS!$E12,L$4&lt;=WBS!$F12),"■",IF(AND(L$4&gt;=WBS!$C12,L$4&lt;=WBS!$D12),"□","")))</f>
        <v/>
      </c>
      <c r="M11" s="22" t="str">
        <f>IF(WBS!$C12="","",IF(AND(WBS!$E12&lt;&gt;"",M$4&gt;=WBS!$E12,M$4&lt;=WBS!$F12),"■",IF(AND(M$4&gt;=WBS!$C12,M$4&lt;=WBS!$D12),"□","")))</f>
        <v/>
      </c>
      <c r="N11" s="22" t="str">
        <f>IF(WBS!$C12="","",IF(AND(WBS!$E12&lt;&gt;"",N$4&gt;=WBS!$E12,N$4&lt;=WBS!$F12),"■",IF(AND(N$4&gt;=WBS!$C12,N$4&lt;=WBS!$D12),"□","")))</f>
        <v/>
      </c>
      <c r="O11" s="22" t="str">
        <f>IF(WBS!$C12="","",IF(AND(WBS!$E12&lt;&gt;"",O$4&gt;=WBS!$E12,O$4&lt;=WBS!$F12),"■",IF(AND(O$4&gt;=WBS!$C12,O$4&lt;=WBS!$D12),"□","")))</f>
        <v/>
      </c>
      <c r="P11" s="22" t="str">
        <f>IF(WBS!$C12="","",IF(AND(WBS!$E12&lt;&gt;"",P$4&gt;=WBS!$E12,P$4&lt;=WBS!$F12),"■",IF(AND(P$4&gt;=WBS!$C12,P$4&lt;=WBS!$D12),"□","")))</f>
        <v/>
      </c>
      <c r="Q11" s="22" t="str">
        <f>IF(WBS!$C12="","",IF(AND(WBS!$E12&lt;&gt;"",Q$4&gt;=WBS!$E12,Q$4&lt;=WBS!$F12),"■",IF(AND(Q$4&gt;=WBS!$C12,Q$4&lt;=WBS!$D12),"□","")))</f>
        <v/>
      </c>
      <c r="R11" s="22" t="str">
        <f>IF(WBS!$C12="","",IF(AND(WBS!$E12&lt;&gt;"",R$4&gt;=WBS!$E12,R$4&lt;=WBS!$F12),"■",IF(AND(R$4&gt;=WBS!$C12,R$4&lt;=WBS!$D12),"□","")))</f>
        <v/>
      </c>
      <c r="S11" s="22" t="str">
        <f>IF(WBS!$C12="","",IF(AND(WBS!$E12&lt;&gt;"",S$4&gt;=WBS!$E12,S$4&lt;=WBS!$F12),"■",IF(AND(S$4&gt;=WBS!$C12,S$4&lt;=WBS!$D12),"□","")))</f>
        <v/>
      </c>
      <c r="T11" s="22" t="str">
        <f>IF(WBS!$C12="","",IF(AND(WBS!$E12&lt;&gt;"",T$4&gt;=WBS!$E12,T$4&lt;=WBS!$F12),"■",IF(AND(T$4&gt;=WBS!$C12,T$4&lt;=WBS!$D12),"□","")))</f>
        <v/>
      </c>
    </row>
    <row r="12" spans="1:20" x14ac:dyDescent="0.3">
      <c r="A12" s="21" t="str">
        <f>WBS!A13</f>
        <v>3</v>
      </c>
      <c r="B12" s="21" t="str">
        <f>WBS!B13</f>
        <v>Tái hiện thực nghiệm</v>
      </c>
      <c r="C12" s="22" t="str">
        <f>IF(WBS!$C13="","",IF(AND(WBS!$E13&lt;&gt;"",C$4&gt;=WBS!$E13,C$4&lt;=WBS!$F13),"■",IF(AND(C$4&gt;=WBS!$C13,C$4&lt;=WBS!$D13),"□","")))</f>
        <v/>
      </c>
      <c r="D12" s="22" t="str">
        <f>IF(WBS!$C13="","",IF(AND(WBS!$E13&lt;&gt;"",D$4&gt;=WBS!$E13,D$4&lt;=WBS!$F13),"■",IF(AND(D$4&gt;=WBS!$C13,D$4&lt;=WBS!$D13),"□","")))</f>
        <v/>
      </c>
      <c r="E12" s="22" t="str">
        <f>IF(WBS!$C13="","",IF(AND(WBS!$E13&lt;&gt;"",E$4&gt;=WBS!$E13,E$4&lt;=WBS!$F13),"■",IF(AND(E$4&gt;=WBS!$C13,E$4&lt;=WBS!$D13),"□","")))</f>
        <v/>
      </c>
      <c r="F12" s="22" t="str">
        <f>IF(WBS!$C13="","",IF(AND(WBS!$E13&lt;&gt;"",F$4&gt;=WBS!$E13,F$4&lt;=WBS!$F13),"■",IF(AND(F$4&gt;=WBS!$C13,F$4&lt;=WBS!$D13),"□","")))</f>
        <v/>
      </c>
      <c r="G12" s="22" t="str">
        <f>IF(WBS!$C13="","",IF(AND(WBS!$E13&lt;&gt;"",G$4&gt;=WBS!$E13,G$4&lt;=WBS!$F13),"■",IF(AND(G$4&gt;=WBS!$C13,G$4&lt;=WBS!$D13),"□","")))</f>
        <v>□</v>
      </c>
      <c r="H12" s="22" t="str">
        <f>IF(WBS!$C13="","",IF(AND(WBS!$E13&lt;&gt;"",H$4&gt;=WBS!$E13,H$4&lt;=WBS!$F13),"■",IF(AND(H$4&gt;=WBS!$C13,H$4&lt;=WBS!$D13),"□","")))</f>
        <v>□</v>
      </c>
      <c r="I12" s="22" t="str">
        <f>IF(WBS!$C13="","",IF(AND(WBS!$E13&lt;&gt;"",I$4&gt;=WBS!$E13,I$4&lt;=WBS!$F13),"■",IF(AND(I$4&gt;=WBS!$C13,I$4&lt;=WBS!$D13),"□","")))</f>
        <v>□</v>
      </c>
      <c r="J12" s="22" t="str">
        <f>IF(WBS!$C13="","",IF(AND(WBS!$E13&lt;&gt;"",J$4&gt;=WBS!$E13,J$4&lt;=WBS!$F13),"■",IF(AND(J$4&gt;=WBS!$C13,J$4&lt;=WBS!$D13),"□","")))</f>
        <v>□</v>
      </c>
      <c r="K12" s="22" t="str">
        <f>IF(WBS!$C13="","",IF(AND(WBS!$E13&lt;&gt;"",K$4&gt;=WBS!$E13,K$4&lt;=WBS!$F13),"■",IF(AND(K$4&gt;=WBS!$C13,K$4&lt;=WBS!$D13),"□","")))</f>
        <v>□</v>
      </c>
      <c r="L12" s="22" t="str">
        <f>IF(WBS!$C13="","",IF(AND(WBS!$E13&lt;&gt;"",L$4&gt;=WBS!$E13,L$4&lt;=WBS!$F13),"■",IF(AND(L$4&gt;=WBS!$C13,L$4&lt;=WBS!$D13),"□","")))</f>
        <v>□</v>
      </c>
      <c r="M12" s="22" t="str">
        <f>IF(WBS!$C13="","",IF(AND(WBS!$E13&lt;&gt;"",M$4&gt;=WBS!$E13,M$4&lt;=WBS!$F13),"■",IF(AND(M$4&gt;=WBS!$C13,M$4&lt;=WBS!$D13),"□","")))</f>
        <v>□</v>
      </c>
      <c r="N12" s="22" t="str">
        <f>IF(WBS!$C13="","",IF(AND(WBS!$E13&lt;&gt;"",N$4&gt;=WBS!$E13,N$4&lt;=WBS!$F13),"■",IF(AND(N$4&gt;=WBS!$C13,N$4&lt;=WBS!$D13),"□","")))</f>
        <v/>
      </c>
      <c r="O12" s="22" t="str">
        <f>IF(WBS!$C13="","",IF(AND(WBS!$E13&lt;&gt;"",O$4&gt;=WBS!$E13,O$4&lt;=WBS!$F13),"■",IF(AND(O$4&gt;=WBS!$C13,O$4&lt;=WBS!$D13),"□","")))</f>
        <v/>
      </c>
      <c r="P12" s="22" t="str">
        <f>IF(WBS!$C13="","",IF(AND(WBS!$E13&lt;&gt;"",P$4&gt;=WBS!$E13,P$4&lt;=WBS!$F13),"■",IF(AND(P$4&gt;=WBS!$C13,P$4&lt;=WBS!$D13),"□","")))</f>
        <v/>
      </c>
      <c r="Q12" s="22" t="str">
        <f>IF(WBS!$C13="","",IF(AND(WBS!$E13&lt;&gt;"",Q$4&gt;=WBS!$E13,Q$4&lt;=WBS!$F13),"■",IF(AND(Q$4&gt;=WBS!$C13,Q$4&lt;=WBS!$D13),"□","")))</f>
        <v/>
      </c>
      <c r="R12" s="22" t="str">
        <f>IF(WBS!$C13="","",IF(AND(WBS!$E13&lt;&gt;"",R$4&gt;=WBS!$E13,R$4&lt;=WBS!$F13),"■",IF(AND(R$4&gt;=WBS!$C13,R$4&lt;=WBS!$D13),"□","")))</f>
        <v/>
      </c>
      <c r="S12" s="22" t="str">
        <f>IF(WBS!$C13="","",IF(AND(WBS!$E13&lt;&gt;"",S$4&gt;=WBS!$E13,S$4&lt;=WBS!$F13),"■",IF(AND(S$4&gt;=WBS!$C13,S$4&lt;=WBS!$D13),"□","")))</f>
        <v/>
      </c>
      <c r="T12" s="22" t="str">
        <f>IF(WBS!$C13="","",IF(AND(WBS!$E13&lt;&gt;"",T$4&gt;=WBS!$E13,T$4&lt;=WBS!$F13),"■",IF(AND(T$4&gt;=WBS!$C13,T$4&lt;=WBS!$D13),"□","")))</f>
        <v/>
      </c>
    </row>
    <row r="13" spans="1:20" x14ac:dyDescent="0.3">
      <c r="A13" s="21" t="str">
        <f>WBS!A14</f>
        <v>3.1</v>
      </c>
      <c r="B13" s="21" t="str">
        <f>WBS!B14</f>
        <v>Nhập số liệu các bảng của bài báo</v>
      </c>
      <c r="C13" s="22" t="str">
        <f>IF(WBS!$C14="","",IF(AND(WBS!$E14&lt;&gt;"",C$4&gt;=WBS!$E14,C$4&lt;=WBS!$F14),"■",IF(AND(C$4&gt;=WBS!$C14,C$4&lt;=WBS!$D14),"□","")))</f>
        <v/>
      </c>
      <c r="D13" s="22" t="str">
        <f>IF(WBS!$C14="","",IF(AND(WBS!$E14&lt;&gt;"",D$4&gt;=WBS!$E14,D$4&lt;=WBS!$F14),"■",IF(AND(D$4&gt;=WBS!$C14,D$4&lt;=WBS!$D14),"□","")))</f>
        <v/>
      </c>
      <c r="E13" s="22" t="str">
        <f>IF(WBS!$C14="","",IF(AND(WBS!$E14&lt;&gt;"",E$4&gt;=WBS!$E14,E$4&lt;=WBS!$F14),"■",IF(AND(E$4&gt;=WBS!$C14,E$4&lt;=WBS!$D14),"□","")))</f>
        <v/>
      </c>
      <c r="F13" s="22" t="str">
        <f>IF(WBS!$C14="","",IF(AND(WBS!$E14&lt;&gt;"",F$4&gt;=WBS!$E14,F$4&lt;=WBS!$F14),"■",IF(AND(F$4&gt;=WBS!$C14,F$4&lt;=WBS!$D14),"□","")))</f>
        <v/>
      </c>
      <c r="G13" s="22" t="str">
        <f>IF(WBS!$C14="","",IF(AND(WBS!$E14&lt;&gt;"",G$4&gt;=WBS!$E14,G$4&lt;=WBS!$F14),"■",IF(AND(G$4&gt;=WBS!$C14,G$4&lt;=WBS!$D14),"□","")))</f>
        <v>□</v>
      </c>
      <c r="H13" s="22" t="str">
        <f>IF(WBS!$C14="","",IF(AND(WBS!$E14&lt;&gt;"",H$4&gt;=WBS!$E14,H$4&lt;=WBS!$F14),"■",IF(AND(H$4&gt;=WBS!$C14,H$4&lt;=WBS!$D14),"□","")))</f>
        <v>□</v>
      </c>
      <c r="I13" s="22" t="str">
        <f>IF(WBS!$C14="","",IF(AND(WBS!$E14&lt;&gt;"",I$4&gt;=WBS!$E14,I$4&lt;=WBS!$F14),"■",IF(AND(I$4&gt;=WBS!$C14,I$4&lt;=WBS!$D14),"□","")))</f>
        <v/>
      </c>
      <c r="J13" s="22" t="str">
        <f>IF(WBS!$C14="","",IF(AND(WBS!$E14&lt;&gt;"",J$4&gt;=WBS!$E14,J$4&lt;=WBS!$F14),"■",IF(AND(J$4&gt;=WBS!$C14,J$4&lt;=WBS!$D14),"□","")))</f>
        <v/>
      </c>
      <c r="K13" s="22" t="str">
        <f>IF(WBS!$C14="","",IF(AND(WBS!$E14&lt;&gt;"",K$4&gt;=WBS!$E14,K$4&lt;=WBS!$F14),"■",IF(AND(K$4&gt;=WBS!$C14,K$4&lt;=WBS!$D14),"□","")))</f>
        <v>■</v>
      </c>
      <c r="L13" s="22" t="str">
        <f>IF(WBS!$C14="","",IF(AND(WBS!$E14&lt;&gt;"",L$4&gt;=WBS!$E14,L$4&lt;=WBS!$F14),"■",IF(AND(L$4&gt;=WBS!$C14,L$4&lt;=WBS!$D14),"□","")))</f>
        <v/>
      </c>
      <c r="M13" s="22" t="str">
        <f>IF(WBS!$C14="","",IF(AND(WBS!$E14&lt;&gt;"",M$4&gt;=WBS!$E14,M$4&lt;=WBS!$F14),"■",IF(AND(M$4&gt;=WBS!$C14,M$4&lt;=WBS!$D14),"□","")))</f>
        <v/>
      </c>
      <c r="N13" s="22" t="str">
        <f>IF(WBS!$C14="","",IF(AND(WBS!$E14&lt;&gt;"",N$4&gt;=WBS!$E14,N$4&lt;=WBS!$F14),"■",IF(AND(N$4&gt;=WBS!$C14,N$4&lt;=WBS!$D14),"□","")))</f>
        <v/>
      </c>
      <c r="O13" s="22" t="str">
        <f>IF(WBS!$C14="","",IF(AND(WBS!$E14&lt;&gt;"",O$4&gt;=WBS!$E14,O$4&lt;=WBS!$F14),"■",IF(AND(O$4&gt;=WBS!$C14,O$4&lt;=WBS!$D14),"□","")))</f>
        <v/>
      </c>
      <c r="P13" s="22" t="str">
        <f>IF(WBS!$C14="","",IF(AND(WBS!$E14&lt;&gt;"",P$4&gt;=WBS!$E14,P$4&lt;=WBS!$F14),"■",IF(AND(P$4&gt;=WBS!$C14,P$4&lt;=WBS!$D14),"□","")))</f>
        <v/>
      </c>
      <c r="Q13" s="22" t="str">
        <f>IF(WBS!$C14="","",IF(AND(WBS!$E14&lt;&gt;"",Q$4&gt;=WBS!$E14,Q$4&lt;=WBS!$F14),"■",IF(AND(Q$4&gt;=WBS!$C14,Q$4&lt;=WBS!$D14),"□","")))</f>
        <v/>
      </c>
      <c r="R13" s="22" t="str">
        <f>IF(WBS!$C14="","",IF(AND(WBS!$E14&lt;&gt;"",R$4&gt;=WBS!$E14,R$4&lt;=WBS!$F14),"■",IF(AND(R$4&gt;=WBS!$C14,R$4&lt;=WBS!$D14),"□","")))</f>
        <v/>
      </c>
      <c r="S13" s="22" t="str">
        <f>IF(WBS!$C14="","",IF(AND(WBS!$E14&lt;&gt;"",S$4&gt;=WBS!$E14,S$4&lt;=WBS!$F14),"■",IF(AND(S$4&gt;=WBS!$C14,S$4&lt;=WBS!$D14),"□","")))</f>
        <v/>
      </c>
      <c r="T13" s="22" t="str">
        <f>IF(WBS!$C14="","",IF(AND(WBS!$E14&lt;&gt;"",T$4&gt;=WBS!$E14,T$4&lt;=WBS!$F14),"■",IF(AND(T$4&gt;=WBS!$C14,T$4&lt;=WBS!$D14),"□","")))</f>
        <v/>
      </c>
    </row>
    <row r="14" spans="1:20" x14ac:dyDescent="0.3">
      <c r="A14" s="21" t="str">
        <f>WBS!A15</f>
        <v>3.2</v>
      </c>
      <c r="B14" s="21" t="str">
        <f>WBS!B15</f>
        <v>Kiểm tra lại số liệu đã công bố</v>
      </c>
      <c r="C14" s="22" t="str">
        <f>IF(WBS!$C15="","",IF(AND(WBS!$E15&lt;&gt;"",C$4&gt;=WBS!$E15,C$4&lt;=WBS!$F15),"■",IF(AND(C$4&gt;=WBS!$C15,C$4&lt;=WBS!$D15),"□","")))</f>
        <v/>
      </c>
      <c r="D14" s="22" t="str">
        <f>IF(WBS!$C15="","",IF(AND(WBS!$E15&lt;&gt;"",D$4&gt;=WBS!$E15,D$4&lt;=WBS!$F15),"■",IF(AND(D$4&gt;=WBS!$C15,D$4&lt;=WBS!$D15),"□","")))</f>
        <v/>
      </c>
      <c r="E14" s="22" t="str">
        <f>IF(WBS!$C15="","",IF(AND(WBS!$E15&lt;&gt;"",E$4&gt;=WBS!$E15,E$4&lt;=WBS!$F15),"■",IF(AND(E$4&gt;=WBS!$C15,E$4&lt;=WBS!$D15),"□","")))</f>
        <v/>
      </c>
      <c r="F14" s="22" t="str">
        <f>IF(WBS!$C15="","",IF(AND(WBS!$E15&lt;&gt;"",F$4&gt;=WBS!$E15,F$4&lt;=WBS!$F15),"■",IF(AND(F$4&gt;=WBS!$C15,F$4&lt;=WBS!$D15),"□","")))</f>
        <v/>
      </c>
      <c r="G14" s="22" t="str">
        <f>IF(WBS!$C15="","",IF(AND(WBS!$E15&lt;&gt;"",G$4&gt;=WBS!$E15,G$4&lt;=WBS!$F15),"■",IF(AND(G$4&gt;=WBS!$C15,G$4&lt;=WBS!$D15),"□","")))</f>
        <v/>
      </c>
      <c r="H14" s="22" t="str">
        <f>IF(WBS!$C15="","",IF(AND(WBS!$E15&lt;&gt;"",H$4&gt;=WBS!$E15,H$4&lt;=WBS!$F15),"■",IF(AND(H$4&gt;=WBS!$C15,H$4&lt;=WBS!$D15),"□","")))</f>
        <v>□</v>
      </c>
      <c r="I14" s="22" t="str">
        <f>IF(WBS!$C15="","",IF(AND(WBS!$E15&lt;&gt;"",I$4&gt;=WBS!$E15,I$4&lt;=WBS!$F15),"■",IF(AND(I$4&gt;=WBS!$C15,I$4&lt;=WBS!$D15),"□","")))</f>
        <v/>
      </c>
      <c r="J14" s="22" t="str">
        <f>IF(WBS!$C15="","",IF(AND(WBS!$E15&lt;&gt;"",J$4&gt;=WBS!$E15,J$4&lt;=WBS!$F15),"■",IF(AND(J$4&gt;=WBS!$C15,J$4&lt;=WBS!$D15),"□","")))</f>
        <v/>
      </c>
      <c r="K14" s="22" t="str">
        <f>IF(WBS!$C15="","",IF(AND(WBS!$E15&lt;&gt;"",K$4&gt;=WBS!$E15,K$4&lt;=WBS!$F15),"■",IF(AND(K$4&gt;=WBS!$C15,K$4&lt;=WBS!$D15),"□","")))</f>
        <v>■</v>
      </c>
      <c r="L14" s="22" t="str">
        <f>IF(WBS!$C15="","",IF(AND(WBS!$E15&lt;&gt;"",L$4&gt;=WBS!$E15,L$4&lt;=WBS!$F15),"■",IF(AND(L$4&gt;=WBS!$C15,L$4&lt;=WBS!$D15),"□","")))</f>
        <v/>
      </c>
      <c r="M14" s="22" t="str">
        <f>IF(WBS!$C15="","",IF(AND(WBS!$E15&lt;&gt;"",M$4&gt;=WBS!$E15,M$4&lt;=WBS!$F15),"■",IF(AND(M$4&gt;=WBS!$C15,M$4&lt;=WBS!$D15),"□","")))</f>
        <v/>
      </c>
      <c r="N14" s="22" t="str">
        <f>IF(WBS!$C15="","",IF(AND(WBS!$E15&lt;&gt;"",N$4&gt;=WBS!$E15,N$4&lt;=WBS!$F15),"■",IF(AND(N$4&gt;=WBS!$C15,N$4&lt;=WBS!$D15),"□","")))</f>
        <v/>
      </c>
      <c r="O14" s="22" t="str">
        <f>IF(WBS!$C15="","",IF(AND(WBS!$E15&lt;&gt;"",O$4&gt;=WBS!$E15,O$4&lt;=WBS!$F15),"■",IF(AND(O$4&gt;=WBS!$C15,O$4&lt;=WBS!$D15),"□","")))</f>
        <v/>
      </c>
      <c r="P14" s="22" t="str">
        <f>IF(WBS!$C15="","",IF(AND(WBS!$E15&lt;&gt;"",P$4&gt;=WBS!$E15,P$4&lt;=WBS!$F15),"■",IF(AND(P$4&gt;=WBS!$C15,P$4&lt;=WBS!$D15),"□","")))</f>
        <v/>
      </c>
      <c r="Q14" s="22" t="str">
        <f>IF(WBS!$C15="","",IF(AND(WBS!$E15&lt;&gt;"",Q$4&gt;=WBS!$E15,Q$4&lt;=WBS!$F15),"■",IF(AND(Q$4&gt;=WBS!$C15,Q$4&lt;=WBS!$D15),"□","")))</f>
        <v/>
      </c>
      <c r="R14" s="22" t="str">
        <f>IF(WBS!$C15="","",IF(AND(WBS!$E15&lt;&gt;"",R$4&gt;=WBS!$E15,R$4&lt;=WBS!$F15),"■",IF(AND(R$4&gt;=WBS!$C15,R$4&lt;=WBS!$D15),"□","")))</f>
        <v/>
      </c>
      <c r="S14" s="22" t="str">
        <f>IF(WBS!$C15="","",IF(AND(WBS!$E15&lt;&gt;"",S$4&gt;=WBS!$E15,S$4&lt;=WBS!$F15),"■",IF(AND(S$4&gt;=WBS!$C15,S$4&lt;=WBS!$D15),"□","")))</f>
        <v/>
      </c>
      <c r="T14" s="22" t="str">
        <f>IF(WBS!$C15="","",IF(AND(WBS!$E15&lt;&gt;"",T$4&gt;=WBS!$E15,T$4&lt;=WBS!$F15),"■",IF(AND(T$4&gt;=WBS!$C15,T$4&lt;=WBS!$D15),"□","")))</f>
        <v/>
      </c>
    </row>
    <row r="15" spans="1:20" x14ac:dyDescent="0.3">
      <c r="A15" s="21" t="str">
        <f>WBS!A16</f>
        <v>3.3</v>
      </c>
      <c r="B15" s="21" t="str">
        <f>WBS!B16</f>
        <v>Sinh dữ liệu mô phỏng 314 phiếu</v>
      </c>
      <c r="C15" s="22" t="str">
        <f>IF(WBS!$C16="","",IF(AND(WBS!$E16&lt;&gt;"",C$4&gt;=WBS!$E16,C$4&lt;=WBS!$F16),"■",IF(AND(C$4&gt;=WBS!$C16,C$4&lt;=WBS!$D16),"□","")))</f>
        <v/>
      </c>
      <c r="D15" s="22" t="str">
        <f>IF(WBS!$C16="","",IF(AND(WBS!$E16&lt;&gt;"",D$4&gt;=WBS!$E16,D$4&lt;=WBS!$F16),"■",IF(AND(D$4&gt;=WBS!$C16,D$4&lt;=WBS!$D16),"□","")))</f>
        <v/>
      </c>
      <c r="E15" s="22" t="str">
        <f>IF(WBS!$C16="","",IF(AND(WBS!$E16&lt;&gt;"",E$4&gt;=WBS!$E16,E$4&lt;=WBS!$F16),"■",IF(AND(E$4&gt;=WBS!$C16,E$4&lt;=WBS!$D16),"□","")))</f>
        <v/>
      </c>
      <c r="F15" s="22" t="str">
        <f>IF(WBS!$C16="","",IF(AND(WBS!$E16&lt;&gt;"",F$4&gt;=WBS!$E16,F$4&lt;=WBS!$F16),"■",IF(AND(F$4&gt;=WBS!$C16,F$4&lt;=WBS!$D16),"□","")))</f>
        <v/>
      </c>
      <c r="G15" s="22" t="str">
        <f>IF(WBS!$C16="","",IF(AND(WBS!$E16&lt;&gt;"",G$4&gt;=WBS!$E16,G$4&lt;=WBS!$F16),"■",IF(AND(G$4&gt;=WBS!$C16,G$4&lt;=WBS!$D16),"□","")))</f>
        <v/>
      </c>
      <c r="H15" s="22" t="str">
        <f>IF(WBS!$C16="","",IF(AND(WBS!$E16&lt;&gt;"",H$4&gt;=WBS!$E16,H$4&lt;=WBS!$F16),"■",IF(AND(H$4&gt;=WBS!$C16,H$4&lt;=WBS!$D16),"□","")))</f>
        <v/>
      </c>
      <c r="I15" s="22" t="str">
        <f>IF(WBS!$C16="","",IF(AND(WBS!$E16&lt;&gt;"",I$4&gt;=WBS!$E16,I$4&lt;=WBS!$F16),"■",IF(AND(I$4&gt;=WBS!$C16,I$4&lt;=WBS!$D16),"□","")))</f>
        <v/>
      </c>
      <c r="J15" s="22" t="str">
        <f>IF(WBS!$C16="","",IF(AND(WBS!$E16&lt;&gt;"",J$4&gt;=WBS!$E16,J$4&lt;=WBS!$F16),"■",IF(AND(J$4&gt;=WBS!$C16,J$4&lt;=WBS!$D16),"□","")))</f>
        <v/>
      </c>
      <c r="K15" s="22" t="str">
        <f>IF(WBS!$C16="","",IF(AND(WBS!$E16&lt;&gt;"",K$4&gt;=WBS!$E16,K$4&lt;=WBS!$F16),"■",IF(AND(K$4&gt;=WBS!$C16,K$4&lt;=WBS!$D16),"□","")))</f>
        <v>■</v>
      </c>
      <c r="L15" s="22" t="str">
        <f>IF(WBS!$C16="","",IF(AND(WBS!$E16&lt;&gt;"",L$4&gt;=WBS!$E16,L$4&lt;=WBS!$F16),"■",IF(AND(L$4&gt;=WBS!$C16,L$4&lt;=WBS!$D16),"□","")))</f>
        <v>□</v>
      </c>
      <c r="M15" s="22" t="str">
        <f>IF(WBS!$C16="","",IF(AND(WBS!$E16&lt;&gt;"",M$4&gt;=WBS!$E16,M$4&lt;=WBS!$F16),"■",IF(AND(M$4&gt;=WBS!$C16,M$4&lt;=WBS!$D16),"□","")))</f>
        <v/>
      </c>
      <c r="N15" s="22" t="str">
        <f>IF(WBS!$C16="","",IF(AND(WBS!$E16&lt;&gt;"",N$4&gt;=WBS!$E16,N$4&lt;=WBS!$F16),"■",IF(AND(N$4&gt;=WBS!$C16,N$4&lt;=WBS!$D16),"□","")))</f>
        <v/>
      </c>
      <c r="O15" s="22" t="str">
        <f>IF(WBS!$C16="","",IF(AND(WBS!$E16&lt;&gt;"",O$4&gt;=WBS!$E16,O$4&lt;=WBS!$F16),"■",IF(AND(O$4&gt;=WBS!$C16,O$4&lt;=WBS!$D16),"□","")))</f>
        <v/>
      </c>
      <c r="P15" s="22" t="str">
        <f>IF(WBS!$C16="","",IF(AND(WBS!$E16&lt;&gt;"",P$4&gt;=WBS!$E16,P$4&lt;=WBS!$F16),"■",IF(AND(P$4&gt;=WBS!$C16,P$4&lt;=WBS!$D16),"□","")))</f>
        <v/>
      </c>
      <c r="Q15" s="22" t="str">
        <f>IF(WBS!$C16="","",IF(AND(WBS!$E16&lt;&gt;"",Q$4&gt;=WBS!$E16,Q$4&lt;=WBS!$F16),"■",IF(AND(Q$4&gt;=WBS!$C16,Q$4&lt;=WBS!$D16),"□","")))</f>
        <v/>
      </c>
      <c r="R15" s="22" t="str">
        <f>IF(WBS!$C16="","",IF(AND(WBS!$E16&lt;&gt;"",R$4&gt;=WBS!$E16,R$4&lt;=WBS!$F16),"■",IF(AND(R$4&gt;=WBS!$C16,R$4&lt;=WBS!$D16),"□","")))</f>
        <v/>
      </c>
      <c r="S15" s="22" t="str">
        <f>IF(WBS!$C16="","",IF(AND(WBS!$E16&lt;&gt;"",S$4&gt;=WBS!$E16,S$4&lt;=WBS!$F16),"■",IF(AND(S$4&gt;=WBS!$C16,S$4&lt;=WBS!$D16),"□","")))</f>
        <v/>
      </c>
      <c r="T15" s="22" t="str">
        <f>IF(WBS!$C16="","",IF(AND(WBS!$E16&lt;&gt;"",T$4&gt;=WBS!$E16,T$4&lt;=WBS!$F16),"■",IF(AND(T$4&gt;=WBS!$C16,T$4&lt;=WBS!$D16),"□","")))</f>
        <v/>
      </c>
    </row>
    <row r="16" spans="1:20" x14ac:dyDescent="0.3">
      <c r="A16" s="21" t="str">
        <f>WBS!A17</f>
        <v>3.4</v>
      </c>
      <c r="B16" s="21" t="str">
        <f>WBS!B17</f>
        <v>Cronbach, RII, PIM trên dữ liệu mô phỏng</v>
      </c>
      <c r="C16" s="22" t="str">
        <f>IF(WBS!$C17="","",IF(AND(WBS!$E17&lt;&gt;"",C$4&gt;=WBS!$E17,C$4&lt;=WBS!$F17),"■",IF(AND(C$4&gt;=WBS!$C17,C$4&lt;=WBS!$D17),"□","")))</f>
        <v/>
      </c>
      <c r="D16" s="22" t="str">
        <f>IF(WBS!$C17="","",IF(AND(WBS!$E17&lt;&gt;"",D$4&gt;=WBS!$E17,D$4&lt;=WBS!$F17),"■",IF(AND(D$4&gt;=WBS!$C17,D$4&lt;=WBS!$D17),"□","")))</f>
        <v/>
      </c>
      <c r="E16" s="22" t="str">
        <f>IF(WBS!$C17="","",IF(AND(WBS!$E17&lt;&gt;"",E$4&gt;=WBS!$E17,E$4&lt;=WBS!$F17),"■",IF(AND(E$4&gt;=WBS!$C17,E$4&lt;=WBS!$D17),"□","")))</f>
        <v/>
      </c>
      <c r="F16" s="22" t="str">
        <f>IF(WBS!$C17="","",IF(AND(WBS!$E17&lt;&gt;"",F$4&gt;=WBS!$E17,F$4&lt;=WBS!$F17),"■",IF(AND(F$4&gt;=WBS!$C17,F$4&lt;=WBS!$D17),"□","")))</f>
        <v/>
      </c>
      <c r="G16" s="22" t="str">
        <f>IF(WBS!$C17="","",IF(AND(WBS!$E17&lt;&gt;"",G$4&gt;=WBS!$E17,G$4&lt;=WBS!$F17),"■",IF(AND(G$4&gt;=WBS!$C17,G$4&lt;=WBS!$D17),"□","")))</f>
        <v/>
      </c>
      <c r="H16" s="22" t="str">
        <f>IF(WBS!$C17="","",IF(AND(WBS!$E17&lt;&gt;"",H$4&gt;=WBS!$E17,H$4&lt;=WBS!$F17),"■",IF(AND(H$4&gt;=WBS!$C17,H$4&lt;=WBS!$D17),"□","")))</f>
        <v/>
      </c>
      <c r="I16" s="22" t="str">
        <f>IF(WBS!$C17="","",IF(AND(WBS!$E17&lt;&gt;"",I$4&gt;=WBS!$E17,I$4&lt;=WBS!$F17),"■",IF(AND(I$4&gt;=WBS!$C17,I$4&lt;=WBS!$D17),"□","")))</f>
        <v/>
      </c>
      <c r="J16" s="22" t="str">
        <f>IF(WBS!$C17="","",IF(AND(WBS!$E17&lt;&gt;"",J$4&gt;=WBS!$E17,J$4&lt;=WBS!$F17),"■",IF(AND(J$4&gt;=WBS!$C17,J$4&lt;=WBS!$D17),"□","")))</f>
        <v/>
      </c>
      <c r="K16" s="22" t="str">
        <f>IF(WBS!$C17="","",IF(AND(WBS!$E17&lt;&gt;"",K$4&gt;=WBS!$E17,K$4&lt;=WBS!$F17),"■",IF(AND(K$4&gt;=WBS!$C17,K$4&lt;=WBS!$D17),"□","")))</f>
        <v>■</v>
      </c>
      <c r="L16" s="22" t="str">
        <f>IF(WBS!$C17="","",IF(AND(WBS!$E17&lt;&gt;"",L$4&gt;=WBS!$E17,L$4&lt;=WBS!$F17),"■",IF(AND(L$4&gt;=WBS!$C17,L$4&lt;=WBS!$D17),"□","")))</f>
        <v>□</v>
      </c>
      <c r="M16" s="22" t="str">
        <f>IF(WBS!$C17="","",IF(AND(WBS!$E17&lt;&gt;"",M$4&gt;=WBS!$E17,M$4&lt;=WBS!$F17),"■",IF(AND(M$4&gt;=WBS!$C17,M$4&lt;=WBS!$D17),"□","")))</f>
        <v/>
      </c>
      <c r="N16" s="22" t="str">
        <f>IF(WBS!$C17="","",IF(AND(WBS!$E17&lt;&gt;"",N$4&gt;=WBS!$E17,N$4&lt;=WBS!$F17),"■",IF(AND(N$4&gt;=WBS!$C17,N$4&lt;=WBS!$D17),"□","")))</f>
        <v/>
      </c>
      <c r="O16" s="22" t="str">
        <f>IF(WBS!$C17="","",IF(AND(WBS!$E17&lt;&gt;"",O$4&gt;=WBS!$E17,O$4&lt;=WBS!$F17),"■",IF(AND(O$4&gt;=WBS!$C17,O$4&lt;=WBS!$D17),"□","")))</f>
        <v/>
      </c>
      <c r="P16" s="22" t="str">
        <f>IF(WBS!$C17="","",IF(AND(WBS!$E17&lt;&gt;"",P$4&gt;=WBS!$E17,P$4&lt;=WBS!$F17),"■",IF(AND(P$4&gt;=WBS!$C17,P$4&lt;=WBS!$D17),"□","")))</f>
        <v/>
      </c>
      <c r="Q16" s="22" t="str">
        <f>IF(WBS!$C17="","",IF(AND(WBS!$E17&lt;&gt;"",Q$4&gt;=WBS!$E17,Q$4&lt;=WBS!$F17),"■",IF(AND(Q$4&gt;=WBS!$C17,Q$4&lt;=WBS!$D17),"□","")))</f>
        <v/>
      </c>
      <c r="R16" s="22" t="str">
        <f>IF(WBS!$C17="","",IF(AND(WBS!$E17&lt;&gt;"",R$4&gt;=WBS!$E17,R$4&lt;=WBS!$F17),"■",IF(AND(R$4&gt;=WBS!$C17,R$4&lt;=WBS!$D17),"□","")))</f>
        <v/>
      </c>
      <c r="S16" s="22" t="str">
        <f>IF(WBS!$C17="","",IF(AND(WBS!$E17&lt;&gt;"",S$4&gt;=WBS!$E17,S$4&lt;=WBS!$F17),"■",IF(AND(S$4&gt;=WBS!$C17,S$4&lt;=WBS!$D17),"□","")))</f>
        <v/>
      </c>
      <c r="T16" s="22" t="str">
        <f>IF(WBS!$C17="","",IF(AND(WBS!$E17&lt;&gt;"",T$4&gt;=WBS!$E17,T$4&lt;=WBS!$F17),"■",IF(AND(T$4&gt;=WBS!$C17,T$4&lt;=WBS!$D17),"□","")))</f>
        <v/>
      </c>
    </row>
    <row r="17" spans="1:20" x14ac:dyDescent="0.3">
      <c r="A17" s="21" t="str">
        <f>WBS!A18</f>
        <v>3.5</v>
      </c>
      <c r="B17" s="21" t="str">
        <f>WBS!B18</f>
        <v>PLS-SEM, bootstrapping, HTMT</v>
      </c>
      <c r="C17" s="22" t="str">
        <f>IF(WBS!$C18="","",IF(AND(WBS!$E18&lt;&gt;"",C$4&gt;=WBS!$E18,C$4&lt;=WBS!$F18),"■",IF(AND(C$4&gt;=WBS!$C18,C$4&lt;=WBS!$D18),"□","")))</f>
        <v/>
      </c>
      <c r="D17" s="22" t="str">
        <f>IF(WBS!$C18="","",IF(AND(WBS!$E18&lt;&gt;"",D$4&gt;=WBS!$E18,D$4&lt;=WBS!$F18),"■",IF(AND(D$4&gt;=WBS!$C18,D$4&lt;=WBS!$D18),"□","")))</f>
        <v/>
      </c>
      <c r="E17" s="22" t="str">
        <f>IF(WBS!$C18="","",IF(AND(WBS!$E18&lt;&gt;"",E$4&gt;=WBS!$E18,E$4&lt;=WBS!$F18),"■",IF(AND(E$4&gt;=WBS!$C18,E$4&lt;=WBS!$D18),"□","")))</f>
        <v/>
      </c>
      <c r="F17" s="22" t="str">
        <f>IF(WBS!$C18="","",IF(AND(WBS!$E18&lt;&gt;"",F$4&gt;=WBS!$E18,F$4&lt;=WBS!$F18),"■",IF(AND(F$4&gt;=WBS!$C18,F$4&lt;=WBS!$D18),"□","")))</f>
        <v/>
      </c>
      <c r="G17" s="22" t="str">
        <f>IF(WBS!$C18="","",IF(AND(WBS!$E18&lt;&gt;"",G$4&gt;=WBS!$E18,G$4&lt;=WBS!$F18),"■",IF(AND(G$4&gt;=WBS!$C18,G$4&lt;=WBS!$D18),"□","")))</f>
        <v/>
      </c>
      <c r="H17" s="22" t="str">
        <f>IF(WBS!$C18="","",IF(AND(WBS!$E18&lt;&gt;"",H$4&gt;=WBS!$E18,H$4&lt;=WBS!$F18),"■",IF(AND(H$4&gt;=WBS!$C18,H$4&lt;=WBS!$D18),"□","")))</f>
        <v/>
      </c>
      <c r="I17" s="22" t="str">
        <f>IF(WBS!$C18="","",IF(AND(WBS!$E18&lt;&gt;"",I$4&gt;=WBS!$E18,I$4&lt;=WBS!$F18),"■",IF(AND(I$4&gt;=WBS!$C18,I$4&lt;=WBS!$D18),"□","")))</f>
        <v/>
      </c>
      <c r="J17" s="22" t="str">
        <f>IF(WBS!$C18="","",IF(AND(WBS!$E18&lt;&gt;"",J$4&gt;=WBS!$E18,J$4&lt;=WBS!$F18),"■",IF(AND(J$4&gt;=WBS!$C18,J$4&lt;=WBS!$D18),"□","")))</f>
        <v/>
      </c>
      <c r="K17" s="22" t="str">
        <f>IF(WBS!$C18="","",IF(AND(WBS!$E18&lt;&gt;"",K$4&gt;=WBS!$E18,K$4&lt;=WBS!$F18),"■",IF(AND(K$4&gt;=WBS!$C18,K$4&lt;=WBS!$D18),"□","")))</f>
        <v>■</v>
      </c>
      <c r="L17" s="22" t="str">
        <f>IF(WBS!$C18="","",IF(AND(WBS!$E18&lt;&gt;"",L$4&gt;=WBS!$E18,L$4&lt;=WBS!$F18),"■",IF(AND(L$4&gt;=WBS!$C18,L$4&lt;=WBS!$D18),"□","")))</f>
        <v/>
      </c>
      <c r="M17" s="22" t="str">
        <f>IF(WBS!$C18="","",IF(AND(WBS!$E18&lt;&gt;"",M$4&gt;=WBS!$E18,M$4&lt;=WBS!$F18),"■",IF(AND(M$4&gt;=WBS!$C18,M$4&lt;=WBS!$D18),"□","")))</f>
        <v>□</v>
      </c>
      <c r="N17" s="22" t="str">
        <f>IF(WBS!$C18="","",IF(AND(WBS!$E18&lt;&gt;"",N$4&gt;=WBS!$E18,N$4&lt;=WBS!$F18),"■",IF(AND(N$4&gt;=WBS!$C18,N$4&lt;=WBS!$D18),"□","")))</f>
        <v/>
      </c>
      <c r="O17" s="22" t="str">
        <f>IF(WBS!$C18="","",IF(AND(WBS!$E18&lt;&gt;"",O$4&gt;=WBS!$E18,O$4&lt;=WBS!$F18),"■",IF(AND(O$4&gt;=WBS!$C18,O$4&lt;=WBS!$D18),"□","")))</f>
        <v/>
      </c>
      <c r="P17" s="22" t="str">
        <f>IF(WBS!$C18="","",IF(AND(WBS!$E18&lt;&gt;"",P$4&gt;=WBS!$E18,P$4&lt;=WBS!$F18),"■",IF(AND(P$4&gt;=WBS!$C18,P$4&lt;=WBS!$D18),"□","")))</f>
        <v/>
      </c>
      <c r="Q17" s="22" t="str">
        <f>IF(WBS!$C18="","",IF(AND(WBS!$E18&lt;&gt;"",Q$4&gt;=WBS!$E18,Q$4&lt;=WBS!$F18),"■",IF(AND(Q$4&gt;=WBS!$C18,Q$4&lt;=WBS!$D18),"□","")))</f>
        <v/>
      </c>
      <c r="R17" s="22" t="str">
        <f>IF(WBS!$C18="","",IF(AND(WBS!$E18&lt;&gt;"",R$4&gt;=WBS!$E18,R$4&lt;=WBS!$F18),"■",IF(AND(R$4&gt;=WBS!$C18,R$4&lt;=WBS!$D18),"□","")))</f>
        <v/>
      </c>
      <c r="S17" s="22" t="str">
        <f>IF(WBS!$C18="","",IF(AND(WBS!$E18&lt;&gt;"",S$4&gt;=WBS!$E18,S$4&lt;=WBS!$F18),"■",IF(AND(S$4&gt;=WBS!$C18,S$4&lt;=WBS!$D18),"□","")))</f>
        <v/>
      </c>
      <c r="T17" s="22" t="str">
        <f>IF(WBS!$C18="","",IF(AND(WBS!$E18&lt;&gt;"",T$4&gt;=WBS!$E18,T$4&lt;=WBS!$F18),"■",IF(AND(T$4&gt;=WBS!$C18,T$4&lt;=WBS!$D18),"□","")))</f>
        <v/>
      </c>
    </row>
    <row r="18" spans="1:20" x14ac:dyDescent="0.3">
      <c r="A18" s="21" t="str">
        <f>WBS!A19</f>
        <v>4</v>
      </c>
      <c r="B18" s="21" t="str">
        <f>WBS!B19</f>
        <v>Viết báo cáo</v>
      </c>
      <c r="C18" s="22" t="str">
        <f>IF(WBS!$C19="","",IF(AND(WBS!$E19&lt;&gt;"",C$4&gt;=WBS!$E19,C$4&lt;=WBS!$F19),"■",IF(AND(C$4&gt;=WBS!$C19,C$4&lt;=WBS!$D19),"□","")))</f>
        <v/>
      </c>
      <c r="D18" s="22" t="str">
        <f>IF(WBS!$C19="","",IF(AND(WBS!$E19&lt;&gt;"",D$4&gt;=WBS!$E19,D$4&lt;=WBS!$F19),"■",IF(AND(D$4&gt;=WBS!$C19,D$4&lt;=WBS!$D19),"□","")))</f>
        <v/>
      </c>
      <c r="E18" s="22" t="str">
        <f>IF(WBS!$C19="","",IF(AND(WBS!$E19&lt;&gt;"",E$4&gt;=WBS!$E19,E$4&lt;=WBS!$F19),"■",IF(AND(E$4&gt;=WBS!$C19,E$4&lt;=WBS!$D19),"□","")))</f>
        <v/>
      </c>
      <c r="F18" s="22" t="str">
        <f>IF(WBS!$C19="","",IF(AND(WBS!$E19&lt;&gt;"",F$4&gt;=WBS!$E19,F$4&lt;=WBS!$F19),"■",IF(AND(F$4&gt;=WBS!$C19,F$4&lt;=WBS!$D19),"□","")))</f>
        <v/>
      </c>
      <c r="G18" s="22" t="str">
        <f>IF(WBS!$C19="","",IF(AND(WBS!$E19&lt;&gt;"",G$4&gt;=WBS!$E19,G$4&lt;=WBS!$F19),"■",IF(AND(G$4&gt;=WBS!$C19,G$4&lt;=WBS!$D19),"□","")))</f>
        <v>□</v>
      </c>
      <c r="H18" s="22" t="str">
        <f>IF(WBS!$C19="","",IF(AND(WBS!$E19&lt;&gt;"",H$4&gt;=WBS!$E19,H$4&lt;=WBS!$F19),"■",IF(AND(H$4&gt;=WBS!$C19,H$4&lt;=WBS!$D19),"□","")))</f>
        <v>□</v>
      </c>
      <c r="I18" s="22" t="str">
        <f>IF(WBS!$C19="","",IF(AND(WBS!$E19&lt;&gt;"",I$4&gt;=WBS!$E19,I$4&lt;=WBS!$F19),"■",IF(AND(I$4&gt;=WBS!$C19,I$4&lt;=WBS!$D19),"□","")))</f>
        <v>□</v>
      </c>
      <c r="J18" s="22" t="str">
        <f>IF(WBS!$C19="","",IF(AND(WBS!$E19&lt;&gt;"",J$4&gt;=WBS!$E19,J$4&lt;=WBS!$F19),"■",IF(AND(J$4&gt;=WBS!$C19,J$4&lt;=WBS!$D19),"□","")))</f>
        <v>□</v>
      </c>
      <c r="K18" s="22" t="str">
        <f>IF(WBS!$C19="","",IF(AND(WBS!$E19&lt;&gt;"",K$4&gt;=WBS!$E19,K$4&lt;=WBS!$F19),"■",IF(AND(K$4&gt;=WBS!$C19,K$4&lt;=WBS!$D19),"□","")))</f>
        <v>□</v>
      </c>
      <c r="L18" s="22" t="str">
        <f>IF(WBS!$C19="","",IF(AND(WBS!$E19&lt;&gt;"",L$4&gt;=WBS!$E19,L$4&lt;=WBS!$F19),"■",IF(AND(L$4&gt;=WBS!$C19,L$4&lt;=WBS!$D19),"□","")))</f>
        <v>□</v>
      </c>
      <c r="M18" s="22" t="str">
        <f>IF(WBS!$C19="","",IF(AND(WBS!$E19&lt;&gt;"",M$4&gt;=WBS!$E19,M$4&lt;=WBS!$F19),"■",IF(AND(M$4&gt;=WBS!$C19,M$4&lt;=WBS!$D19),"□","")))</f>
        <v>□</v>
      </c>
      <c r="N18" s="22" t="str">
        <f>IF(WBS!$C19="","",IF(AND(WBS!$E19&lt;&gt;"",N$4&gt;=WBS!$E19,N$4&lt;=WBS!$F19),"■",IF(AND(N$4&gt;=WBS!$C19,N$4&lt;=WBS!$D19),"□","")))</f>
        <v>□</v>
      </c>
      <c r="O18" s="22" t="str">
        <f>IF(WBS!$C19="","",IF(AND(WBS!$E19&lt;&gt;"",O$4&gt;=WBS!$E19,O$4&lt;=WBS!$F19),"■",IF(AND(O$4&gt;=WBS!$C19,O$4&lt;=WBS!$D19),"□","")))</f>
        <v>□</v>
      </c>
      <c r="P18" s="22" t="str">
        <f>IF(WBS!$C19="","",IF(AND(WBS!$E19&lt;&gt;"",P$4&gt;=WBS!$E19,P$4&lt;=WBS!$F19),"■",IF(AND(P$4&gt;=WBS!$C19,P$4&lt;=WBS!$D19),"□","")))</f>
        <v>□</v>
      </c>
      <c r="Q18" s="22" t="str">
        <f>IF(WBS!$C19="","",IF(AND(WBS!$E19&lt;&gt;"",Q$4&gt;=WBS!$E19,Q$4&lt;=WBS!$F19),"■",IF(AND(Q$4&gt;=WBS!$C19,Q$4&lt;=WBS!$D19),"□","")))</f>
        <v>□</v>
      </c>
      <c r="R18" s="22" t="str">
        <f>IF(WBS!$C19="","",IF(AND(WBS!$E19&lt;&gt;"",R$4&gt;=WBS!$E19,R$4&lt;=WBS!$F19),"■",IF(AND(R$4&gt;=WBS!$C19,R$4&lt;=WBS!$D19),"□","")))</f>
        <v>□</v>
      </c>
      <c r="S18" s="22" t="str">
        <f>IF(WBS!$C19="","",IF(AND(WBS!$E19&lt;&gt;"",S$4&gt;=WBS!$E19,S$4&lt;=WBS!$F19),"■",IF(AND(S$4&gt;=WBS!$C19,S$4&lt;=WBS!$D19),"□","")))</f>
        <v/>
      </c>
      <c r="T18" s="22" t="str">
        <f>IF(WBS!$C19="","",IF(AND(WBS!$E19&lt;&gt;"",T$4&gt;=WBS!$E19,T$4&lt;=WBS!$F19),"■",IF(AND(T$4&gt;=WBS!$C19,T$4&lt;=WBS!$D19),"□","")))</f>
        <v/>
      </c>
    </row>
    <row r="19" spans="1:20" x14ac:dyDescent="0.3">
      <c r="A19" s="21" t="str">
        <f>WBS!A20</f>
        <v>4.1</v>
      </c>
      <c r="B19" s="21" t="str">
        <f>WBS!B20</f>
        <v>Dựng khung LaTeX theo mẫu KLTN</v>
      </c>
      <c r="C19" s="22" t="str">
        <f>IF(WBS!$C20="","",IF(AND(WBS!$E20&lt;&gt;"",C$4&gt;=WBS!$E20,C$4&lt;=WBS!$F20),"■",IF(AND(C$4&gt;=WBS!$C20,C$4&lt;=WBS!$D20),"□","")))</f>
        <v/>
      </c>
      <c r="D19" s="22" t="str">
        <f>IF(WBS!$C20="","",IF(AND(WBS!$E20&lt;&gt;"",D$4&gt;=WBS!$E20,D$4&lt;=WBS!$F20),"■",IF(AND(D$4&gt;=WBS!$C20,D$4&lt;=WBS!$D20),"□","")))</f>
        <v/>
      </c>
      <c r="E19" s="22" t="str">
        <f>IF(WBS!$C20="","",IF(AND(WBS!$E20&lt;&gt;"",E$4&gt;=WBS!$E20,E$4&lt;=WBS!$F20),"■",IF(AND(E$4&gt;=WBS!$C20,E$4&lt;=WBS!$D20),"□","")))</f>
        <v/>
      </c>
      <c r="F19" s="22" t="str">
        <f>IF(WBS!$C20="","",IF(AND(WBS!$E20&lt;&gt;"",F$4&gt;=WBS!$E20,F$4&lt;=WBS!$F20),"■",IF(AND(F$4&gt;=WBS!$C20,F$4&lt;=WBS!$D20),"□","")))</f>
        <v/>
      </c>
      <c r="G19" s="22" t="str">
        <f>IF(WBS!$C20="","",IF(AND(WBS!$E20&lt;&gt;"",G$4&gt;=WBS!$E20,G$4&lt;=WBS!$F20),"■",IF(AND(G$4&gt;=WBS!$C20,G$4&lt;=WBS!$D20),"□","")))</f>
        <v>□</v>
      </c>
      <c r="H19" s="22" t="str">
        <f>IF(WBS!$C20="","",IF(AND(WBS!$E20&lt;&gt;"",H$4&gt;=WBS!$E20,H$4&lt;=WBS!$F20),"■",IF(AND(H$4&gt;=WBS!$C20,H$4&lt;=WBS!$D20),"□","")))</f>
        <v/>
      </c>
      <c r="I19" s="22" t="str">
        <f>IF(WBS!$C20="","",IF(AND(WBS!$E20&lt;&gt;"",I$4&gt;=WBS!$E20,I$4&lt;=WBS!$F20),"■",IF(AND(I$4&gt;=WBS!$C20,I$4&lt;=WBS!$D20),"□","")))</f>
        <v/>
      </c>
      <c r="J19" s="22" t="str">
        <f>IF(WBS!$C20="","",IF(AND(WBS!$E20&lt;&gt;"",J$4&gt;=WBS!$E20,J$4&lt;=WBS!$F20),"■",IF(AND(J$4&gt;=WBS!$C20,J$4&lt;=WBS!$D20),"□","")))</f>
        <v/>
      </c>
      <c r="K19" s="22" t="str">
        <f>IF(WBS!$C20="","",IF(AND(WBS!$E20&lt;&gt;"",K$4&gt;=WBS!$E20,K$4&lt;=WBS!$F20),"■",IF(AND(K$4&gt;=WBS!$C20,K$4&lt;=WBS!$D20),"□","")))</f>
        <v>■</v>
      </c>
      <c r="L19" s="22" t="str">
        <f>IF(WBS!$C20="","",IF(AND(WBS!$E20&lt;&gt;"",L$4&gt;=WBS!$E20,L$4&lt;=WBS!$F20),"■",IF(AND(L$4&gt;=WBS!$C20,L$4&lt;=WBS!$D20),"□","")))</f>
        <v/>
      </c>
      <c r="M19" s="22" t="str">
        <f>IF(WBS!$C20="","",IF(AND(WBS!$E20&lt;&gt;"",M$4&gt;=WBS!$E20,M$4&lt;=WBS!$F20),"■",IF(AND(M$4&gt;=WBS!$C20,M$4&lt;=WBS!$D20),"□","")))</f>
        <v/>
      </c>
      <c r="N19" s="22" t="str">
        <f>IF(WBS!$C20="","",IF(AND(WBS!$E20&lt;&gt;"",N$4&gt;=WBS!$E20,N$4&lt;=WBS!$F20),"■",IF(AND(N$4&gt;=WBS!$C20,N$4&lt;=WBS!$D20),"□","")))</f>
        <v/>
      </c>
      <c r="O19" s="22" t="str">
        <f>IF(WBS!$C20="","",IF(AND(WBS!$E20&lt;&gt;"",O$4&gt;=WBS!$E20,O$4&lt;=WBS!$F20),"■",IF(AND(O$4&gt;=WBS!$C20,O$4&lt;=WBS!$D20),"□","")))</f>
        <v/>
      </c>
      <c r="P19" s="22" t="str">
        <f>IF(WBS!$C20="","",IF(AND(WBS!$E20&lt;&gt;"",P$4&gt;=WBS!$E20,P$4&lt;=WBS!$F20),"■",IF(AND(P$4&gt;=WBS!$C20,P$4&lt;=WBS!$D20),"□","")))</f>
        <v/>
      </c>
      <c r="Q19" s="22" t="str">
        <f>IF(WBS!$C20="","",IF(AND(WBS!$E20&lt;&gt;"",Q$4&gt;=WBS!$E20,Q$4&lt;=WBS!$F20),"■",IF(AND(Q$4&gt;=WBS!$C20,Q$4&lt;=WBS!$D20),"□","")))</f>
        <v/>
      </c>
      <c r="R19" s="22" t="str">
        <f>IF(WBS!$C20="","",IF(AND(WBS!$E20&lt;&gt;"",R$4&gt;=WBS!$E20,R$4&lt;=WBS!$F20),"■",IF(AND(R$4&gt;=WBS!$C20,R$4&lt;=WBS!$D20),"□","")))</f>
        <v/>
      </c>
      <c r="S19" s="22" t="str">
        <f>IF(WBS!$C20="","",IF(AND(WBS!$E20&lt;&gt;"",S$4&gt;=WBS!$E20,S$4&lt;=WBS!$F20),"■",IF(AND(S$4&gt;=WBS!$C20,S$4&lt;=WBS!$D20),"□","")))</f>
        <v/>
      </c>
      <c r="T19" s="22" t="str">
        <f>IF(WBS!$C20="","",IF(AND(WBS!$E20&lt;&gt;"",T$4&gt;=WBS!$E20,T$4&lt;=WBS!$F20),"■",IF(AND(T$4&gt;=WBS!$C20,T$4&lt;=WBS!$D20),"□","")))</f>
        <v/>
      </c>
    </row>
    <row r="20" spans="1:20" x14ac:dyDescent="0.3">
      <c r="A20" s="21" t="str">
        <f>WBS!A21</f>
        <v>4.2</v>
      </c>
      <c r="B20" s="21" t="str">
        <f>WBS!B21</f>
        <v>Viết Chương 1 – Tổng quan</v>
      </c>
      <c r="C20" s="22" t="str">
        <f>IF(WBS!$C21="","",IF(AND(WBS!$E21&lt;&gt;"",C$4&gt;=WBS!$E21,C$4&lt;=WBS!$F21),"■",IF(AND(C$4&gt;=WBS!$C21,C$4&lt;=WBS!$D21),"□","")))</f>
        <v/>
      </c>
      <c r="D20" s="22" t="str">
        <f>IF(WBS!$C21="","",IF(AND(WBS!$E21&lt;&gt;"",D$4&gt;=WBS!$E21,D$4&lt;=WBS!$F21),"■",IF(AND(D$4&gt;=WBS!$C21,D$4&lt;=WBS!$D21),"□","")))</f>
        <v/>
      </c>
      <c r="E20" s="22" t="str">
        <f>IF(WBS!$C21="","",IF(AND(WBS!$E21&lt;&gt;"",E$4&gt;=WBS!$E21,E$4&lt;=WBS!$F21),"■",IF(AND(E$4&gt;=WBS!$C21,E$4&lt;=WBS!$D21),"□","")))</f>
        <v/>
      </c>
      <c r="F20" s="22" t="str">
        <f>IF(WBS!$C21="","",IF(AND(WBS!$E21&lt;&gt;"",F$4&gt;=WBS!$E21,F$4&lt;=WBS!$F21),"■",IF(AND(F$4&gt;=WBS!$C21,F$4&lt;=WBS!$D21),"□","")))</f>
        <v/>
      </c>
      <c r="G20" s="22" t="str">
        <f>IF(WBS!$C21="","",IF(AND(WBS!$E21&lt;&gt;"",G$4&gt;=WBS!$E21,G$4&lt;=WBS!$F21),"■",IF(AND(G$4&gt;=WBS!$C21,G$4&lt;=WBS!$D21),"□","")))</f>
        <v/>
      </c>
      <c r="H20" s="22" t="str">
        <f>IF(WBS!$C21="","",IF(AND(WBS!$E21&lt;&gt;"",H$4&gt;=WBS!$E21,H$4&lt;=WBS!$F21),"■",IF(AND(H$4&gt;=WBS!$C21,H$4&lt;=WBS!$D21),"□","")))</f>
        <v/>
      </c>
      <c r="I20" s="22" t="str">
        <f>IF(WBS!$C21="","",IF(AND(WBS!$E21&lt;&gt;"",I$4&gt;=WBS!$E21,I$4&lt;=WBS!$F21),"■",IF(AND(I$4&gt;=WBS!$C21,I$4&lt;=WBS!$D21),"□","")))</f>
        <v>□</v>
      </c>
      <c r="J20" s="22" t="str">
        <f>IF(WBS!$C21="","",IF(AND(WBS!$E21&lt;&gt;"",J$4&gt;=WBS!$E21,J$4&lt;=WBS!$F21),"■",IF(AND(J$4&gt;=WBS!$C21,J$4&lt;=WBS!$D21),"□","")))</f>
        <v/>
      </c>
      <c r="K20" s="22" t="str">
        <f>IF(WBS!$C21="","",IF(AND(WBS!$E21&lt;&gt;"",K$4&gt;=WBS!$E21,K$4&lt;=WBS!$F21),"■",IF(AND(K$4&gt;=WBS!$C21,K$4&lt;=WBS!$D21),"□","")))</f>
        <v>■</v>
      </c>
      <c r="L20" s="22" t="str">
        <f>IF(WBS!$C21="","",IF(AND(WBS!$E21&lt;&gt;"",L$4&gt;=WBS!$E21,L$4&lt;=WBS!$F21),"■",IF(AND(L$4&gt;=WBS!$C21,L$4&lt;=WBS!$D21),"□","")))</f>
        <v/>
      </c>
      <c r="M20" s="22" t="str">
        <f>IF(WBS!$C21="","",IF(AND(WBS!$E21&lt;&gt;"",M$4&gt;=WBS!$E21,M$4&lt;=WBS!$F21),"■",IF(AND(M$4&gt;=WBS!$C21,M$4&lt;=WBS!$D21),"□","")))</f>
        <v/>
      </c>
      <c r="N20" s="22" t="str">
        <f>IF(WBS!$C21="","",IF(AND(WBS!$E21&lt;&gt;"",N$4&gt;=WBS!$E21,N$4&lt;=WBS!$F21),"■",IF(AND(N$4&gt;=WBS!$C21,N$4&lt;=WBS!$D21),"□","")))</f>
        <v/>
      </c>
      <c r="O20" s="22" t="str">
        <f>IF(WBS!$C21="","",IF(AND(WBS!$E21&lt;&gt;"",O$4&gt;=WBS!$E21,O$4&lt;=WBS!$F21),"■",IF(AND(O$4&gt;=WBS!$C21,O$4&lt;=WBS!$D21),"□","")))</f>
        <v/>
      </c>
      <c r="P20" s="22" t="str">
        <f>IF(WBS!$C21="","",IF(AND(WBS!$E21&lt;&gt;"",P$4&gt;=WBS!$E21,P$4&lt;=WBS!$F21),"■",IF(AND(P$4&gt;=WBS!$C21,P$4&lt;=WBS!$D21),"□","")))</f>
        <v/>
      </c>
      <c r="Q20" s="22" t="str">
        <f>IF(WBS!$C21="","",IF(AND(WBS!$E21&lt;&gt;"",Q$4&gt;=WBS!$E21,Q$4&lt;=WBS!$F21),"■",IF(AND(Q$4&gt;=WBS!$C21,Q$4&lt;=WBS!$D21),"□","")))</f>
        <v/>
      </c>
      <c r="R20" s="22" t="str">
        <f>IF(WBS!$C21="","",IF(AND(WBS!$E21&lt;&gt;"",R$4&gt;=WBS!$E21,R$4&lt;=WBS!$F21),"■",IF(AND(R$4&gt;=WBS!$C21,R$4&lt;=WBS!$D21),"□","")))</f>
        <v/>
      </c>
      <c r="S20" s="22" t="str">
        <f>IF(WBS!$C21="","",IF(AND(WBS!$E21&lt;&gt;"",S$4&gt;=WBS!$E21,S$4&lt;=WBS!$F21),"■",IF(AND(S$4&gt;=WBS!$C21,S$4&lt;=WBS!$D21),"□","")))</f>
        <v/>
      </c>
      <c r="T20" s="22" t="str">
        <f>IF(WBS!$C21="","",IF(AND(WBS!$E21&lt;&gt;"",T$4&gt;=WBS!$E21,T$4&lt;=WBS!$F21),"■",IF(AND(T$4&gt;=WBS!$C21,T$4&lt;=WBS!$D21),"□","")))</f>
        <v/>
      </c>
    </row>
    <row r="21" spans="1:20" x14ac:dyDescent="0.3">
      <c r="A21" s="21" t="str">
        <f>WBS!A22</f>
        <v>4.3</v>
      </c>
      <c r="B21" s="21" t="str">
        <f>WBS!B22</f>
        <v>Vẽ sơ đồ tư duy và sơ đồ mô hình</v>
      </c>
      <c r="C21" s="22" t="str">
        <f>IF(WBS!$C22="","",IF(AND(WBS!$E22&lt;&gt;"",C$4&gt;=WBS!$E22,C$4&lt;=WBS!$F22),"■",IF(AND(C$4&gt;=WBS!$C22,C$4&lt;=WBS!$D22),"□","")))</f>
        <v/>
      </c>
      <c r="D21" s="22" t="str">
        <f>IF(WBS!$C22="","",IF(AND(WBS!$E22&lt;&gt;"",D$4&gt;=WBS!$E22,D$4&lt;=WBS!$F22),"■",IF(AND(D$4&gt;=WBS!$C22,D$4&lt;=WBS!$D22),"□","")))</f>
        <v/>
      </c>
      <c r="E21" s="22" t="str">
        <f>IF(WBS!$C22="","",IF(AND(WBS!$E22&lt;&gt;"",E$4&gt;=WBS!$E22,E$4&lt;=WBS!$F22),"■",IF(AND(E$4&gt;=WBS!$C22,E$4&lt;=WBS!$D22),"□","")))</f>
        <v/>
      </c>
      <c r="F21" s="22" t="str">
        <f>IF(WBS!$C22="","",IF(AND(WBS!$E22&lt;&gt;"",F$4&gt;=WBS!$E22,F$4&lt;=WBS!$F22),"■",IF(AND(F$4&gt;=WBS!$C22,F$4&lt;=WBS!$D22),"□","")))</f>
        <v/>
      </c>
      <c r="G21" s="22" t="str">
        <f>IF(WBS!$C22="","",IF(AND(WBS!$E22&lt;&gt;"",G$4&gt;=WBS!$E22,G$4&lt;=WBS!$F22),"■",IF(AND(G$4&gt;=WBS!$C22,G$4&lt;=WBS!$D22),"□","")))</f>
        <v/>
      </c>
      <c r="H21" s="22" t="str">
        <f>IF(WBS!$C22="","",IF(AND(WBS!$E22&lt;&gt;"",H$4&gt;=WBS!$E22,H$4&lt;=WBS!$F22),"■",IF(AND(H$4&gt;=WBS!$C22,H$4&lt;=WBS!$D22),"□","")))</f>
        <v/>
      </c>
      <c r="I21" s="22" t="str">
        <f>IF(WBS!$C22="","",IF(AND(WBS!$E22&lt;&gt;"",I$4&gt;=WBS!$E22,I$4&lt;=WBS!$F22),"■",IF(AND(I$4&gt;=WBS!$C22,I$4&lt;=WBS!$D22),"□","")))</f>
        <v/>
      </c>
      <c r="J21" s="22" t="str">
        <f>IF(WBS!$C22="","",IF(AND(WBS!$E22&lt;&gt;"",J$4&gt;=WBS!$E22,J$4&lt;=WBS!$F22),"■",IF(AND(J$4&gt;=WBS!$C22,J$4&lt;=WBS!$D22),"□","")))</f>
        <v>□</v>
      </c>
      <c r="K21" s="22" t="str">
        <f>IF(WBS!$C22="","",IF(AND(WBS!$E22&lt;&gt;"",K$4&gt;=WBS!$E22,K$4&lt;=WBS!$F22),"■",IF(AND(K$4&gt;=WBS!$C22,K$4&lt;=WBS!$D22),"□","")))</f>
        <v>■</v>
      </c>
      <c r="L21" s="22" t="str">
        <f>IF(WBS!$C22="","",IF(AND(WBS!$E22&lt;&gt;"",L$4&gt;=WBS!$E22,L$4&lt;=WBS!$F22),"■",IF(AND(L$4&gt;=WBS!$C22,L$4&lt;=WBS!$D22),"□","")))</f>
        <v/>
      </c>
      <c r="M21" s="22" t="str">
        <f>IF(WBS!$C22="","",IF(AND(WBS!$E22&lt;&gt;"",M$4&gt;=WBS!$E22,M$4&lt;=WBS!$F22),"■",IF(AND(M$4&gt;=WBS!$C22,M$4&lt;=WBS!$D22),"□","")))</f>
        <v/>
      </c>
      <c r="N21" s="22" t="str">
        <f>IF(WBS!$C22="","",IF(AND(WBS!$E22&lt;&gt;"",N$4&gt;=WBS!$E22,N$4&lt;=WBS!$F22),"■",IF(AND(N$4&gt;=WBS!$C22,N$4&lt;=WBS!$D22),"□","")))</f>
        <v/>
      </c>
      <c r="O21" s="22" t="str">
        <f>IF(WBS!$C22="","",IF(AND(WBS!$E22&lt;&gt;"",O$4&gt;=WBS!$E22,O$4&lt;=WBS!$F22),"■",IF(AND(O$4&gt;=WBS!$C22,O$4&lt;=WBS!$D22),"□","")))</f>
        <v/>
      </c>
      <c r="P21" s="22" t="str">
        <f>IF(WBS!$C22="","",IF(AND(WBS!$E22&lt;&gt;"",P$4&gt;=WBS!$E22,P$4&lt;=WBS!$F22),"■",IF(AND(P$4&gt;=WBS!$C22,P$4&lt;=WBS!$D22),"□","")))</f>
        <v/>
      </c>
      <c r="Q21" s="22" t="str">
        <f>IF(WBS!$C22="","",IF(AND(WBS!$E22&lt;&gt;"",Q$4&gt;=WBS!$E22,Q$4&lt;=WBS!$F22),"■",IF(AND(Q$4&gt;=WBS!$C22,Q$4&lt;=WBS!$D22),"□","")))</f>
        <v/>
      </c>
      <c r="R21" s="22" t="str">
        <f>IF(WBS!$C22="","",IF(AND(WBS!$E22&lt;&gt;"",R$4&gt;=WBS!$E22,R$4&lt;=WBS!$F22),"■",IF(AND(R$4&gt;=WBS!$C22,R$4&lt;=WBS!$D22),"□","")))</f>
        <v/>
      </c>
      <c r="S21" s="22" t="str">
        <f>IF(WBS!$C22="","",IF(AND(WBS!$E22&lt;&gt;"",S$4&gt;=WBS!$E22,S$4&lt;=WBS!$F22),"■",IF(AND(S$4&gt;=WBS!$C22,S$4&lt;=WBS!$D22),"□","")))</f>
        <v/>
      </c>
      <c r="T21" s="22" t="str">
        <f>IF(WBS!$C22="","",IF(AND(WBS!$E22&lt;&gt;"",T$4&gt;=WBS!$E22,T$4&lt;=WBS!$F22),"■",IF(AND(T$4&gt;=WBS!$C22,T$4&lt;=WBS!$D22),"□","")))</f>
        <v/>
      </c>
    </row>
    <row r="22" spans="1:20" x14ac:dyDescent="0.3">
      <c r="A22" s="21" t="str">
        <f>WBS!A23</f>
        <v>4.4</v>
      </c>
      <c r="B22" s="21" t="str">
        <f>WBS!B23</f>
        <v>Viết Chương 2 – Phương pháp và mô hình</v>
      </c>
      <c r="C22" s="22" t="str">
        <f>IF(WBS!$C23="","",IF(AND(WBS!$E23&lt;&gt;"",C$4&gt;=WBS!$E23,C$4&lt;=WBS!$F23),"■",IF(AND(C$4&gt;=WBS!$C23,C$4&lt;=WBS!$D23),"□","")))</f>
        <v/>
      </c>
      <c r="D22" s="22" t="str">
        <f>IF(WBS!$C23="","",IF(AND(WBS!$E23&lt;&gt;"",D$4&gt;=WBS!$E23,D$4&lt;=WBS!$F23),"■",IF(AND(D$4&gt;=WBS!$C23,D$4&lt;=WBS!$D23),"□","")))</f>
        <v/>
      </c>
      <c r="E22" s="22" t="str">
        <f>IF(WBS!$C23="","",IF(AND(WBS!$E23&lt;&gt;"",E$4&gt;=WBS!$E23,E$4&lt;=WBS!$F23),"■",IF(AND(E$4&gt;=WBS!$C23,E$4&lt;=WBS!$D23),"□","")))</f>
        <v/>
      </c>
      <c r="F22" s="22" t="str">
        <f>IF(WBS!$C23="","",IF(AND(WBS!$E23&lt;&gt;"",F$4&gt;=WBS!$E23,F$4&lt;=WBS!$F23),"■",IF(AND(F$4&gt;=WBS!$C23,F$4&lt;=WBS!$D23),"□","")))</f>
        <v/>
      </c>
      <c r="G22" s="22" t="str">
        <f>IF(WBS!$C23="","",IF(AND(WBS!$E23&lt;&gt;"",G$4&gt;=WBS!$E23,G$4&lt;=WBS!$F23),"■",IF(AND(G$4&gt;=WBS!$C23,G$4&lt;=WBS!$D23),"□","")))</f>
        <v/>
      </c>
      <c r="H22" s="22" t="str">
        <f>IF(WBS!$C23="","",IF(AND(WBS!$E23&lt;&gt;"",H$4&gt;=WBS!$E23,H$4&lt;=WBS!$F23),"■",IF(AND(H$4&gt;=WBS!$C23,H$4&lt;=WBS!$D23),"□","")))</f>
        <v/>
      </c>
      <c r="I22" s="22" t="str">
        <f>IF(WBS!$C23="","",IF(AND(WBS!$E23&lt;&gt;"",I$4&gt;=WBS!$E23,I$4&lt;=WBS!$F23),"■",IF(AND(I$4&gt;=WBS!$C23,I$4&lt;=WBS!$D23),"□","")))</f>
        <v/>
      </c>
      <c r="J22" s="22" t="str">
        <f>IF(WBS!$C23="","",IF(AND(WBS!$E23&lt;&gt;"",J$4&gt;=WBS!$E23,J$4&lt;=WBS!$F23),"■",IF(AND(J$4&gt;=WBS!$C23,J$4&lt;=WBS!$D23),"□","")))</f>
        <v>□</v>
      </c>
      <c r="K22" s="22" t="str">
        <f>IF(WBS!$C23="","",IF(AND(WBS!$E23&lt;&gt;"",K$4&gt;=WBS!$E23,K$4&lt;=WBS!$F23),"■",IF(AND(K$4&gt;=WBS!$C23,K$4&lt;=WBS!$D23),"□","")))</f>
        <v>■</v>
      </c>
      <c r="L22" s="22" t="str">
        <f>IF(WBS!$C23="","",IF(AND(WBS!$E23&lt;&gt;"",L$4&gt;=WBS!$E23,L$4&lt;=WBS!$F23),"■",IF(AND(L$4&gt;=WBS!$C23,L$4&lt;=WBS!$D23),"□","")))</f>
        <v/>
      </c>
      <c r="M22" s="22" t="str">
        <f>IF(WBS!$C23="","",IF(AND(WBS!$E23&lt;&gt;"",M$4&gt;=WBS!$E23,M$4&lt;=WBS!$F23),"■",IF(AND(M$4&gt;=WBS!$C23,M$4&lt;=WBS!$D23),"□","")))</f>
        <v/>
      </c>
      <c r="N22" s="22" t="str">
        <f>IF(WBS!$C23="","",IF(AND(WBS!$E23&lt;&gt;"",N$4&gt;=WBS!$E23,N$4&lt;=WBS!$F23),"■",IF(AND(N$4&gt;=WBS!$C23,N$4&lt;=WBS!$D23),"□","")))</f>
        <v/>
      </c>
      <c r="O22" s="22" t="str">
        <f>IF(WBS!$C23="","",IF(AND(WBS!$E23&lt;&gt;"",O$4&gt;=WBS!$E23,O$4&lt;=WBS!$F23),"■",IF(AND(O$4&gt;=WBS!$C23,O$4&lt;=WBS!$D23),"□","")))</f>
        <v/>
      </c>
      <c r="P22" s="22" t="str">
        <f>IF(WBS!$C23="","",IF(AND(WBS!$E23&lt;&gt;"",P$4&gt;=WBS!$E23,P$4&lt;=WBS!$F23),"■",IF(AND(P$4&gt;=WBS!$C23,P$4&lt;=WBS!$D23),"□","")))</f>
        <v/>
      </c>
      <c r="Q22" s="22" t="str">
        <f>IF(WBS!$C23="","",IF(AND(WBS!$E23&lt;&gt;"",Q$4&gt;=WBS!$E23,Q$4&lt;=WBS!$F23),"■",IF(AND(Q$4&gt;=WBS!$C23,Q$4&lt;=WBS!$D23),"□","")))</f>
        <v/>
      </c>
      <c r="R22" s="22" t="str">
        <f>IF(WBS!$C23="","",IF(AND(WBS!$E23&lt;&gt;"",R$4&gt;=WBS!$E23,R$4&lt;=WBS!$F23),"■",IF(AND(R$4&gt;=WBS!$C23,R$4&lt;=WBS!$D23),"□","")))</f>
        <v/>
      </c>
      <c r="S22" s="22" t="str">
        <f>IF(WBS!$C23="","",IF(AND(WBS!$E23&lt;&gt;"",S$4&gt;=WBS!$E23,S$4&lt;=WBS!$F23),"■",IF(AND(S$4&gt;=WBS!$C23,S$4&lt;=WBS!$D23),"□","")))</f>
        <v/>
      </c>
      <c r="T22" s="22" t="str">
        <f>IF(WBS!$C23="","",IF(AND(WBS!$E23&lt;&gt;"",T$4&gt;=WBS!$E23,T$4&lt;=WBS!$F23),"■",IF(AND(T$4&gt;=WBS!$C23,T$4&lt;=WBS!$D23),"□","")))</f>
        <v/>
      </c>
    </row>
    <row r="23" spans="1:20" x14ac:dyDescent="0.3">
      <c r="A23" s="21" t="str">
        <f>WBS!A24</f>
        <v>4.5</v>
      </c>
      <c r="B23" s="21" t="str">
        <f>WBS!B24</f>
        <v>Viết Chương 3 – Tái hiện thực nghiệm</v>
      </c>
      <c r="C23" s="22" t="str">
        <f>IF(WBS!$C24="","",IF(AND(WBS!$E24&lt;&gt;"",C$4&gt;=WBS!$E24,C$4&lt;=WBS!$F24),"■",IF(AND(C$4&gt;=WBS!$C24,C$4&lt;=WBS!$D24),"□","")))</f>
        <v/>
      </c>
      <c r="D23" s="22" t="str">
        <f>IF(WBS!$C24="","",IF(AND(WBS!$E24&lt;&gt;"",D$4&gt;=WBS!$E24,D$4&lt;=WBS!$F24),"■",IF(AND(D$4&gt;=WBS!$C24,D$4&lt;=WBS!$D24),"□","")))</f>
        <v/>
      </c>
      <c r="E23" s="22" t="str">
        <f>IF(WBS!$C24="","",IF(AND(WBS!$E24&lt;&gt;"",E$4&gt;=WBS!$E24,E$4&lt;=WBS!$F24),"■",IF(AND(E$4&gt;=WBS!$C24,E$4&lt;=WBS!$D24),"□","")))</f>
        <v/>
      </c>
      <c r="F23" s="22" t="str">
        <f>IF(WBS!$C24="","",IF(AND(WBS!$E24&lt;&gt;"",F$4&gt;=WBS!$E24,F$4&lt;=WBS!$F24),"■",IF(AND(F$4&gt;=WBS!$C24,F$4&lt;=WBS!$D24),"□","")))</f>
        <v/>
      </c>
      <c r="G23" s="22" t="str">
        <f>IF(WBS!$C24="","",IF(AND(WBS!$E24&lt;&gt;"",G$4&gt;=WBS!$E24,G$4&lt;=WBS!$F24),"■",IF(AND(G$4&gt;=WBS!$C24,G$4&lt;=WBS!$D24),"□","")))</f>
        <v/>
      </c>
      <c r="H23" s="22" t="str">
        <f>IF(WBS!$C24="","",IF(AND(WBS!$E24&lt;&gt;"",H$4&gt;=WBS!$E24,H$4&lt;=WBS!$F24),"■",IF(AND(H$4&gt;=WBS!$C24,H$4&lt;=WBS!$D24),"□","")))</f>
        <v/>
      </c>
      <c r="I23" s="22" t="str">
        <f>IF(WBS!$C24="","",IF(AND(WBS!$E24&lt;&gt;"",I$4&gt;=WBS!$E24,I$4&lt;=WBS!$F24),"■",IF(AND(I$4&gt;=WBS!$C24,I$4&lt;=WBS!$D24),"□","")))</f>
        <v/>
      </c>
      <c r="J23" s="22" t="str">
        <f>IF(WBS!$C24="","",IF(AND(WBS!$E24&lt;&gt;"",J$4&gt;=WBS!$E24,J$4&lt;=WBS!$F24),"■",IF(AND(J$4&gt;=WBS!$C24,J$4&lt;=WBS!$D24),"□","")))</f>
        <v/>
      </c>
      <c r="K23" s="22" t="str">
        <f>IF(WBS!$C24="","",IF(AND(WBS!$E24&lt;&gt;"",K$4&gt;=WBS!$E24,K$4&lt;=WBS!$F24),"■",IF(AND(K$4&gt;=WBS!$C24,K$4&lt;=WBS!$D24),"□","")))</f>
        <v>■</v>
      </c>
      <c r="L23" s="22" t="str">
        <f>IF(WBS!$C24="","",IF(AND(WBS!$E24&lt;&gt;"",L$4&gt;=WBS!$E24,L$4&lt;=WBS!$F24),"■",IF(AND(L$4&gt;=WBS!$C24,L$4&lt;=WBS!$D24),"□","")))</f>
        <v/>
      </c>
      <c r="M23" s="22" t="str">
        <f>IF(WBS!$C24="","",IF(AND(WBS!$E24&lt;&gt;"",M$4&gt;=WBS!$E24,M$4&lt;=WBS!$F24),"■",IF(AND(M$4&gt;=WBS!$C24,M$4&lt;=WBS!$D24),"□","")))</f>
        <v/>
      </c>
      <c r="N23" s="22" t="str">
        <f>IF(WBS!$C24="","",IF(AND(WBS!$E24&lt;&gt;"",N$4&gt;=WBS!$E24,N$4&lt;=WBS!$F24),"■",IF(AND(N$4&gt;=WBS!$C24,N$4&lt;=WBS!$D24),"□","")))</f>
        <v>□</v>
      </c>
      <c r="O23" s="22" t="str">
        <f>IF(WBS!$C24="","",IF(AND(WBS!$E24&lt;&gt;"",O$4&gt;=WBS!$E24,O$4&lt;=WBS!$F24),"■",IF(AND(O$4&gt;=WBS!$C24,O$4&lt;=WBS!$D24),"□","")))</f>
        <v/>
      </c>
      <c r="P23" s="22" t="str">
        <f>IF(WBS!$C24="","",IF(AND(WBS!$E24&lt;&gt;"",P$4&gt;=WBS!$E24,P$4&lt;=WBS!$F24),"■",IF(AND(P$4&gt;=WBS!$C24,P$4&lt;=WBS!$D24),"□","")))</f>
        <v/>
      </c>
      <c r="Q23" s="22" t="str">
        <f>IF(WBS!$C24="","",IF(AND(WBS!$E24&lt;&gt;"",Q$4&gt;=WBS!$E24,Q$4&lt;=WBS!$F24),"■",IF(AND(Q$4&gt;=WBS!$C24,Q$4&lt;=WBS!$D24),"□","")))</f>
        <v/>
      </c>
      <c r="R23" s="22" t="str">
        <f>IF(WBS!$C24="","",IF(AND(WBS!$E24&lt;&gt;"",R$4&gt;=WBS!$E24,R$4&lt;=WBS!$F24),"■",IF(AND(R$4&gt;=WBS!$C24,R$4&lt;=WBS!$D24),"□","")))</f>
        <v/>
      </c>
      <c r="S23" s="22" t="str">
        <f>IF(WBS!$C24="","",IF(AND(WBS!$E24&lt;&gt;"",S$4&gt;=WBS!$E24,S$4&lt;=WBS!$F24),"■",IF(AND(S$4&gt;=WBS!$C24,S$4&lt;=WBS!$D24),"□","")))</f>
        <v/>
      </c>
      <c r="T23" s="22" t="str">
        <f>IF(WBS!$C24="","",IF(AND(WBS!$E24&lt;&gt;"",T$4&gt;=WBS!$E24,T$4&lt;=WBS!$F24),"■",IF(AND(T$4&gt;=WBS!$C24,T$4&lt;=WBS!$D24),"□","")))</f>
        <v/>
      </c>
    </row>
    <row r="24" spans="1:20" x14ac:dyDescent="0.3">
      <c r="A24" s="21" t="str">
        <f>WBS!A25</f>
        <v>4.6</v>
      </c>
      <c r="B24" s="21" t="str">
        <f>WBS!B25</f>
        <v>Ví dụ thực tế 1: dự án dầu khí Việt Nam</v>
      </c>
      <c r="C24" s="22" t="str">
        <f>IF(WBS!$C25="","",IF(AND(WBS!$E25&lt;&gt;"",C$4&gt;=WBS!$E25,C$4&lt;=WBS!$F25),"■",IF(AND(C$4&gt;=WBS!$C25,C$4&lt;=WBS!$D25),"□","")))</f>
        <v/>
      </c>
      <c r="D24" s="22" t="str">
        <f>IF(WBS!$C25="","",IF(AND(WBS!$E25&lt;&gt;"",D$4&gt;=WBS!$E25,D$4&lt;=WBS!$F25),"■",IF(AND(D$4&gt;=WBS!$C25,D$4&lt;=WBS!$D25),"□","")))</f>
        <v/>
      </c>
      <c r="E24" s="22" t="str">
        <f>IF(WBS!$C25="","",IF(AND(WBS!$E25&lt;&gt;"",E$4&gt;=WBS!$E25,E$4&lt;=WBS!$F25),"■",IF(AND(E$4&gt;=WBS!$C25,E$4&lt;=WBS!$D25),"□","")))</f>
        <v/>
      </c>
      <c r="F24" s="22" t="str">
        <f>IF(WBS!$C25="","",IF(AND(WBS!$E25&lt;&gt;"",F$4&gt;=WBS!$E25,F$4&lt;=WBS!$F25),"■",IF(AND(F$4&gt;=WBS!$C25,F$4&lt;=WBS!$D25),"□","")))</f>
        <v/>
      </c>
      <c r="G24" s="22" t="str">
        <f>IF(WBS!$C25="","",IF(AND(WBS!$E25&lt;&gt;"",G$4&gt;=WBS!$E25,G$4&lt;=WBS!$F25),"■",IF(AND(G$4&gt;=WBS!$C25,G$4&lt;=WBS!$D25),"□","")))</f>
        <v/>
      </c>
      <c r="H24" s="22" t="str">
        <f>IF(WBS!$C25="","",IF(AND(WBS!$E25&lt;&gt;"",H$4&gt;=WBS!$E25,H$4&lt;=WBS!$F25),"■",IF(AND(H$4&gt;=WBS!$C25,H$4&lt;=WBS!$D25),"□","")))</f>
        <v/>
      </c>
      <c r="I24" s="22" t="str">
        <f>IF(WBS!$C25="","",IF(AND(WBS!$E25&lt;&gt;"",I$4&gt;=WBS!$E25,I$4&lt;=WBS!$F25),"■",IF(AND(I$4&gt;=WBS!$C25,I$4&lt;=WBS!$D25),"□","")))</f>
        <v/>
      </c>
      <c r="J24" s="22" t="str">
        <f>IF(WBS!$C25="","",IF(AND(WBS!$E25&lt;&gt;"",J$4&gt;=WBS!$E25,J$4&lt;=WBS!$F25),"■",IF(AND(J$4&gt;=WBS!$C25,J$4&lt;=WBS!$D25),"□","")))</f>
        <v/>
      </c>
      <c r="K24" s="22" t="str">
        <f>IF(WBS!$C25="","",IF(AND(WBS!$E25&lt;&gt;"",K$4&gt;=WBS!$E25,K$4&lt;=WBS!$F25),"■",IF(AND(K$4&gt;=WBS!$C25,K$4&lt;=WBS!$D25),"□","")))</f>
        <v>■</v>
      </c>
      <c r="L24" s="22" t="str">
        <f>IF(WBS!$C25="","",IF(AND(WBS!$E25&lt;&gt;"",L$4&gt;=WBS!$E25,L$4&lt;=WBS!$F25),"■",IF(AND(L$4&gt;=WBS!$C25,L$4&lt;=WBS!$D25),"□","")))</f>
        <v/>
      </c>
      <c r="M24" s="22" t="str">
        <f>IF(WBS!$C25="","",IF(AND(WBS!$E25&lt;&gt;"",M$4&gt;=WBS!$E25,M$4&lt;=WBS!$F25),"■",IF(AND(M$4&gt;=WBS!$C25,M$4&lt;=WBS!$D25),"□","")))</f>
        <v/>
      </c>
      <c r="N24" s="22" t="str">
        <f>IF(WBS!$C25="","",IF(AND(WBS!$E25&lt;&gt;"",N$4&gt;=WBS!$E25,N$4&lt;=WBS!$F25),"■",IF(AND(N$4&gt;=WBS!$C25,N$4&lt;=WBS!$D25),"□","")))</f>
        <v/>
      </c>
      <c r="O24" s="22" t="str">
        <f>IF(WBS!$C25="","",IF(AND(WBS!$E25&lt;&gt;"",O$4&gt;=WBS!$E25,O$4&lt;=WBS!$F25),"■",IF(AND(O$4&gt;=WBS!$C25,O$4&lt;=WBS!$D25),"□","")))</f>
        <v>□</v>
      </c>
      <c r="P24" s="22" t="str">
        <f>IF(WBS!$C25="","",IF(AND(WBS!$E25&lt;&gt;"",P$4&gt;=WBS!$E25,P$4&lt;=WBS!$F25),"■",IF(AND(P$4&gt;=WBS!$C25,P$4&lt;=WBS!$D25),"□","")))</f>
        <v/>
      </c>
      <c r="Q24" s="22" t="str">
        <f>IF(WBS!$C25="","",IF(AND(WBS!$E25&lt;&gt;"",Q$4&gt;=WBS!$E25,Q$4&lt;=WBS!$F25),"■",IF(AND(Q$4&gt;=WBS!$C25,Q$4&lt;=WBS!$D25),"□","")))</f>
        <v/>
      </c>
      <c r="R24" s="22" t="str">
        <f>IF(WBS!$C25="","",IF(AND(WBS!$E25&lt;&gt;"",R$4&gt;=WBS!$E25,R$4&lt;=WBS!$F25),"■",IF(AND(R$4&gt;=WBS!$C25,R$4&lt;=WBS!$D25),"□","")))</f>
        <v/>
      </c>
      <c r="S24" s="22" t="str">
        <f>IF(WBS!$C25="","",IF(AND(WBS!$E25&lt;&gt;"",S$4&gt;=WBS!$E25,S$4&lt;=WBS!$F25),"■",IF(AND(S$4&gt;=WBS!$C25,S$4&lt;=WBS!$D25),"□","")))</f>
        <v/>
      </c>
      <c r="T24" s="22" t="str">
        <f>IF(WBS!$C25="","",IF(AND(WBS!$E25&lt;&gt;"",T$4&gt;=WBS!$E25,T$4&lt;=WBS!$F25),"■",IF(AND(T$4&gt;=WBS!$C25,T$4&lt;=WBS!$D25),"□","")))</f>
        <v/>
      </c>
    </row>
    <row r="25" spans="1:20" x14ac:dyDescent="0.3">
      <c r="A25" s="21" t="str">
        <f>WBS!A26</f>
        <v>4.7</v>
      </c>
      <c r="B25" s="21" t="str">
        <f>WBS!B26</f>
        <v>Ví dụ thực tế 2: dự án HTTT (MS Project, Excel)</v>
      </c>
      <c r="C25" s="22" t="str">
        <f>IF(WBS!$C26="","",IF(AND(WBS!$E26&lt;&gt;"",C$4&gt;=WBS!$E26,C$4&lt;=WBS!$F26),"■",IF(AND(C$4&gt;=WBS!$C26,C$4&lt;=WBS!$D26),"□","")))</f>
        <v/>
      </c>
      <c r="D25" s="22" t="str">
        <f>IF(WBS!$C26="","",IF(AND(WBS!$E26&lt;&gt;"",D$4&gt;=WBS!$E26,D$4&lt;=WBS!$F26),"■",IF(AND(D$4&gt;=WBS!$C26,D$4&lt;=WBS!$D26),"□","")))</f>
        <v/>
      </c>
      <c r="E25" s="22" t="str">
        <f>IF(WBS!$C26="","",IF(AND(WBS!$E26&lt;&gt;"",E$4&gt;=WBS!$E26,E$4&lt;=WBS!$F26),"■",IF(AND(E$4&gt;=WBS!$C26,E$4&lt;=WBS!$D26),"□","")))</f>
        <v/>
      </c>
      <c r="F25" s="22" t="str">
        <f>IF(WBS!$C26="","",IF(AND(WBS!$E26&lt;&gt;"",F$4&gt;=WBS!$E26,F$4&lt;=WBS!$F26),"■",IF(AND(F$4&gt;=WBS!$C26,F$4&lt;=WBS!$D26),"□","")))</f>
        <v/>
      </c>
      <c r="G25" s="22" t="str">
        <f>IF(WBS!$C26="","",IF(AND(WBS!$E26&lt;&gt;"",G$4&gt;=WBS!$E26,G$4&lt;=WBS!$F26),"■",IF(AND(G$4&gt;=WBS!$C26,G$4&lt;=WBS!$D26),"□","")))</f>
        <v/>
      </c>
      <c r="H25" s="22" t="str">
        <f>IF(WBS!$C26="","",IF(AND(WBS!$E26&lt;&gt;"",H$4&gt;=WBS!$E26,H$4&lt;=WBS!$F26),"■",IF(AND(H$4&gt;=WBS!$C26,H$4&lt;=WBS!$D26),"□","")))</f>
        <v/>
      </c>
      <c r="I25" s="22" t="str">
        <f>IF(WBS!$C26="","",IF(AND(WBS!$E26&lt;&gt;"",I$4&gt;=WBS!$E26,I$4&lt;=WBS!$F26),"■",IF(AND(I$4&gt;=WBS!$C26,I$4&lt;=WBS!$D26),"□","")))</f>
        <v/>
      </c>
      <c r="J25" s="22" t="str">
        <f>IF(WBS!$C26="","",IF(AND(WBS!$E26&lt;&gt;"",J$4&gt;=WBS!$E26,J$4&lt;=WBS!$F26),"■",IF(AND(J$4&gt;=WBS!$C26,J$4&lt;=WBS!$D26),"□","")))</f>
        <v/>
      </c>
      <c r="K25" s="22" t="str">
        <f>IF(WBS!$C26="","",IF(AND(WBS!$E26&lt;&gt;"",K$4&gt;=WBS!$E26,K$4&lt;=WBS!$F26),"■",IF(AND(K$4&gt;=WBS!$C26,K$4&lt;=WBS!$D26),"□","")))</f>
        <v>■</v>
      </c>
      <c r="L25" s="22" t="str">
        <f>IF(WBS!$C26="","",IF(AND(WBS!$E26&lt;&gt;"",L$4&gt;=WBS!$E26,L$4&lt;=WBS!$F26),"■",IF(AND(L$4&gt;=WBS!$C26,L$4&lt;=WBS!$D26),"□","")))</f>
        <v/>
      </c>
      <c r="M25" s="22" t="str">
        <f>IF(WBS!$C26="","",IF(AND(WBS!$E26&lt;&gt;"",M$4&gt;=WBS!$E26,M$4&lt;=WBS!$F26),"■",IF(AND(M$4&gt;=WBS!$C26,M$4&lt;=WBS!$D26),"□","")))</f>
        <v/>
      </c>
      <c r="N25" s="22" t="str">
        <f>IF(WBS!$C26="","",IF(AND(WBS!$E26&lt;&gt;"",N$4&gt;=WBS!$E26,N$4&lt;=WBS!$F26),"■",IF(AND(N$4&gt;=WBS!$C26,N$4&lt;=WBS!$D26),"□","")))</f>
        <v/>
      </c>
      <c r="O25" s="22" t="str">
        <f>IF(WBS!$C26="","",IF(AND(WBS!$E26&lt;&gt;"",O$4&gt;=WBS!$E26,O$4&lt;=WBS!$F26),"■",IF(AND(O$4&gt;=WBS!$C26,O$4&lt;=WBS!$D26),"□","")))</f>
        <v/>
      </c>
      <c r="P25" s="22" t="str">
        <f>IF(WBS!$C26="","",IF(AND(WBS!$E26&lt;&gt;"",P$4&gt;=WBS!$E26,P$4&lt;=WBS!$F26),"■",IF(AND(P$4&gt;=WBS!$C26,P$4&lt;=WBS!$D26),"□","")))</f>
        <v>□</v>
      </c>
      <c r="Q25" s="22" t="str">
        <f>IF(WBS!$C26="","",IF(AND(WBS!$E26&lt;&gt;"",Q$4&gt;=WBS!$E26,Q$4&lt;=WBS!$F26),"■",IF(AND(Q$4&gt;=WBS!$C26,Q$4&lt;=WBS!$D26),"□","")))</f>
        <v/>
      </c>
      <c r="R25" s="22" t="str">
        <f>IF(WBS!$C26="","",IF(AND(WBS!$E26&lt;&gt;"",R$4&gt;=WBS!$E26,R$4&lt;=WBS!$F26),"■",IF(AND(R$4&gt;=WBS!$C26,R$4&lt;=WBS!$D26),"□","")))</f>
        <v/>
      </c>
      <c r="S25" s="22" t="str">
        <f>IF(WBS!$C26="","",IF(AND(WBS!$E26&lt;&gt;"",S$4&gt;=WBS!$E26,S$4&lt;=WBS!$F26),"■",IF(AND(S$4&gt;=WBS!$C26,S$4&lt;=WBS!$D26),"□","")))</f>
        <v/>
      </c>
      <c r="T25" s="22" t="str">
        <f>IF(WBS!$C26="","",IF(AND(WBS!$E26&lt;&gt;"",T$4&gt;=WBS!$E26,T$4&lt;=WBS!$F26),"■",IF(AND(T$4&gt;=WBS!$C26,T$4&lt;=WBS!$D26),"□","")))</f>
        <v/>
      </c>
    </row>
    <row r="26" spans="1:20" x14ac:dyDescent="0.3">
      <c r="A26" s="21" t="str">
        <f>WBS!A27</f>
        <v>4.8</v>
      </c>
      <c r="B26" s="21" t="str">
        <f>WBS!B27</f>
        <v>Mô phỏng Monte Carlo, phản biện bài báo</v>
      </c>
      <c r="C26" s="22" t="str">
        <f>IF(WBS!$C27="","",IF(AND(WBS!$E27&lt;&gt;"",C$4&gt;=WBS!$E27,C$4&lt;=WBS!$F27),"■",IF(AND(C$4&gt;=WBS!$C27,C$4&lt;=WBS!$D27),"□","")))</f>
        <v/>
      </c>
      <c r="D26" s="22" t="str">
        <f>IF(WBS!$C27="","",IF(AND(WBS!$E27&lt;&gt;"",D$4&gt;=WBS!$E27,D$4&lt;=WBS!$F27),"■",IF(AND(D$4&gt;=WBS!$C27,D$4&lt;=WBS!$D27),"□","")))</f>
        <v/>
      </c>
      <c r="E26" s="22" t="str">
        <f>IF(WBS!$C27="","",IF(AND(WBS!$E27&lt;&gt;"",E$4&gt;=WBS!$E27,E$4&lt;=WBS!$F27),"■",IF(AND(E$4&gt;=WBS!$C27,E$4&lt;=WBS!$D27),"□","")))</f>
        <v/>
      </c>
      <c r="F26" s="22" t="str">
        <f>IF(WBS!$C27="","",IF(AND(WBS!$E27&lt;&gt;"",F$4&gt;=WBS!$E27,F$4&lt;=WBS!$F27),"■",IF(AND(F$4&gt;=WBS!$C27,F$4&lt;=WBS!$D27),"□","")))</f>
        <v/>
      </c>
      <c r="G26" s="22" t="str">
        <f>IF(WBS!$C27="","",IF(AND(WBS!$E27&lt;&gt;"",G$4&gt;=WBS!$E27,G$4&lt;=WBS!$F27),"■",IF(AND(G$4&gt;=WBS!$C27,G$4&lt;=WBS!$D27),"□","")))</f>
        <v/>
      </c>
      <c r="H26" s="22" t="str">
        <f>IF(WBS!$C27="","",IF(AND(WBS!$E27&lt;&gt;"",H$4&gt;=WBS!$E27,H$4&lt;=WBS!$F27),"■",IF(AND(H$4&gt;=WBS!$C27,H$4&lt;=WBS!$D27),"□","")))</f>
        <v/>
      </c>
      <c r="I26" s="22" t="str">
        <f>IF(WBS!$C27="","",IF(AND(WBS!$E27&lt;&gt;"",I$4&gt;=WBS!$E27,I$4&lt;=WBS!$F27),"■",IF(AND(I$4&gt;=WBS!$C27,I$4&lt;=WBS!$D27),"□","")))</f>
        <v/>
      </c>
      <c r="J26" s="22" t="str">
        <f>IF(WBS!$C27="","",IF(AND(WBS!$E27&lt;&gt;"",J$4&gt;=WBS!$E27,J$4&lt;=WBS!$F27),"■",IF(AND(J$4&gt;=WBS!$C27,J$4&lt;=WBS!$D27),"□","")))</f>
        <v/>
      </c>
      <c r="K26" s="22" t="str">
        <f>IF(WBS!$C27="","",IF(AND(WBS!$E27&lt;&gt;"",K$4&gt;=WBS!$E27,K$4&lt;=WBS!$F27),"■",IF(AND(K$4&gt;=WBS!$C27,K$4&lt;=WBS!$D27),"□","")))</f>
        <v>■</v>
      </c>
      <c r="L26" s="22" t="str">
        <f>IF(WBS!$C27="","",IF(AND(WBS!$E27&lt;&gt;"",L$4&gt;=WBS!$E27,L$4&lt;=WBS!$F27),"■",IF(AND(L$4&gt;=WBS!$C27,L$4&lt;=WBS!$D27),"□","")))</f>
        <v/>
      </c>
      <c r="M26" s="22" t="str">
        <f>IF(WBS!$C27="","",IF(AND(WBS!$E27&lt;&gt;"",M$4&gt;=WBS!$E27,M$4&lt;=WBS!$F27),"■",IF(AND(M$4&gt;=WBS!$C27,M$4&lt;=WBS!$D27),"□","")))</f>
        <v/>
      </c>
      <c r="N26" s="22" t="str">
        <f>IF(WBS!$C27="","",IF(AND(WBS!$E27&lt;&gt;"",N$4&gt;=WBS!$E27,N$4&lt;=WBS!$F27),"■",IF(AND(N$4&gt;=WBS!$C27,N$4&lt;=WBS!$D27),"□","")))</f>
        <v/>
      </c>
      <c r="O26" s="22" t="str">
        <f>IF(WBS!$C27="","",IF(AND(WBS!$E27&lt;&gt;"",O$4&gt;=WBS!$E27,O$4&lt;=WBS!$F27),"■",IF(AND(O$4&gt;=WBS!$C27,O$4&lt;=WBS!$D27),"□","")))</f>
        <v/>
      </c>
      <c r="P26" s="22" t="str">
        <f>IF(WBS!$C27="","",IF(AND(WBS!$E27&lt;&gt;"",P$4&gt;=WBS!$E27,P$4&lt;=WBS!$F27),"■",IF(AND(P$4&gt;=WBS!$C27,P$4&lt;=WBS!$D27),"□","")))</f>
        <v/>
      </c>
      <c r="Q26" s="22" t="str">
        <f>IF(WBS!$C27="","",IF(AND(WBS!$E27&lt;&gt;"",Q$4&gt;=WBS!$E27,Q$4&lt;=WBS!$F27),"■",IF(AND(Q$4&gt;=WBS!$C27,Q$4&lt;=WBS!$D27),"□","")))</f>
        <v>□</v>
      </c>
      <c r="R26" s="22" t="str">
        <f>IF(WBS!$C27="","",IF(AND(WBS!$E27&lt;&gt;"",R$4&gt;=WBS!$E27,R$4&lt;=WBS!$F27),"■",IF(AND(R$4&gt;=WBS!$C27,R$4&lt;=WBS!$D27),"□","")))</f>
        <v/>
      </c>
      <c r="S26" s="22" t="str">
        <f>IF(WBS!$C27="","",IF(AND(WBS!$E27&lt;&gt;"",S$4&gt;=WBS!$E27,S$4&lt;=WBS!$F27),"■",IF(AND(S$4&gt;=WBS!$C27,S$4&lt;=WBS!$D27),"□","")))</f>
        <v/>
      </c>
      <c r="T26" s="22" t="str">
        <f>IF(WBS!$C27="","",IF(AND(WBS!$E27&lt;&gt;"",T$4&gt;=WBS!$E27,T$4&lt;=WBS!$F27),"■",IF(AND(T$4&gt;=WBS!$C27,T$4&lt;=WBS!$D27),"□","")))</f>
        <v/>
      </c>
    </row>
    <row r="27" spans="1:20" x14ac:dyDescent="0.3">
      <c r="A27" s="21" t="str">
        <f>WBS!A28</f>
        <v>4.9</v>
      </c>
      <c r="B27" s="21" t="str">
        <f>WBS!B28</f>
        <v>Mở đầu, kết luận, rà soát, xuất PDF</v>
      </c>
      <c r="C27" s="22" t="str">
        <f>IF(WBS!$C28="","",IF(AND(WBS!$E28&lt;&gt;"",C$4&gt;=WBS!$E28,C$4&lt;=WBS!$F28),"■",IF(AND(C$4&gt;=WBS!$C28,C$4&lt;=WBS!$D28),"□","")))</f>
        <v/>
      </c>
      <c r="D27" s="22" t="str">
        <f>IF(WBS!$C28="","",IF(AND(WBS!$E28&lt;&gt;"",D$4&gt;=WBS!$E28,D$4&lt;=WBS!$F28),"■",IF(AND(D$4&gt;=WBS!$C28,D$4&lt;=WBS!$D28),"□","")))</f>
        <v/>
      </c>
      <c r="E27" s="22" t="str">
        <f>IF(WBS!$C28="","",IF(AND(WBS!$E28&lt;&gt;"",E$4&gt;=WBS!$E28,E$4&lt;=WBS!$F28),"■",IF(AND(E$4&gt;=WBS!$C28,E$4&lt;=WBS!$D28),"□","")))</f>
        <v/>
      </c>
      <c r="F27" s="22" t="str">
        <f>IF(WBS!$C28="","",IF(AND(WBS!$E28&lt;&gt;"",F$4&gt;=WBS!$E28,F$4&lt;=WBS!$F28),"■",IF(AND(F$4&gt;=WBS!$C28,F$4&lt;=WBS!$D28),"□","")))</f>
        <v/>
      </c>
      <c r="G27" s="22" t="str">
        <f>IF(WBS!$C28="","",IF(AND(WBS!$E28&lt;&gt;"",G$4&gt;=WBS!$E28,G$4&lt;=WBS!$F28),"■",IF(AND(G$4&gt;=WBS!$C28,G$4&lt;=WBS!$D28),"□","")))</f>
        <v/>
      </c>
      <c r="H27" s="22" t="str">
        <f>IF(WBS!$C28="","",IF(AND(WBS!$E28&lt;&gt;"",H$4&gt;=WBS!$E28,H$4&lt;=WBS!$F28),"■",IF(AND(H$4&gt;=WBS!$C28,H$4&lt;=WBS!$D28),"□","")))</f>
        <v/>
      </c>
      <c r="I27" s="22" t="str">
        <f>IF(WBS!$C28="","",IF(AND(WBS!$E28&lt;&gt;"",I$4&gt;=WBS!$E28,I$4&lt;=WBS!$F28),"■",IF(AND(I$4&gt;=WBS!$C28,I$4&lt;=WBS!$D28),"□","")))</f>
        <v/>
      </c>
      <c r="J27" s="22" t="str">
        <f>IF(WBS!$C28="","",IF(AND(WBS!$E28&lt;&gt;"",J$4&gt;=WBS!$E28,J$4&lt;=WBS!$F28),"■",IF(AND(J$4&gt;=WBS!$C28,J$4&lt;=WBS!$D28),"□","")))</f>
        <v/>
      </c>
      <c r="K27" s="22" t="str">
        <f>IF(WBS!$C28="","",IF(AND(WBS!$E28&lt;&gt;"",K$4&gt;=WBS!$E28,K$4&lt;=WBS!$F28),"■",IF(AND(K$4&gt;=WBS!$C28,K$4&lt;=WBS!$D28),"□","")))</f>
        <v/>
      </c>
      <c r="L27" s="22" t="str">
        <f>IF(WBS!$C28="","",IF(AND(WBS!$E28&lt;&gt;"",L$4&gt;=WBS!$E28,L$4&lt;=WBS!$F28),"■",IF(AND(L$4&gt;=WBS!$C28,L$4&lt;=WBS!$D28),"□","")))</f>
        <v/>
      </c>
      <c r="M27" s="22" t="str">
        <f>IF(WBS!$C28="","",IF(AND(WBS!$E28&lt;&gt;"",M$4&gt;=WBS!$E28,M$4&lt;=WBS!$F28),"■",IF(AND(M$4&gt;=WBS!$C28,M$4&lt;=WBS!$D28),"□","")))</f>
        <v/>
      </c>
      <c r="N27" s="22" t="str">
        <f>IF(WBS!$C28="","",IF(AND(WBS!$E28&lt;&gt;"",N$4&gt;=WBS!$E28,N$4&lt;=WBS!$F28),"■",IF(AND(N$4&gt;=WBS!$C28,N$4&lt;=WBS!$D28),"□","")))</f>
        <v/>
      </c>
      <c r="O27" s="22" t="str">
        <f>IF(WBS!$C28="","",IF(AND(WBS!$E28&lt;&gt;"",O$4&gt;=WBS!$E28,O$4&lt;=WBS!$F28),"■",IF(AND(O$4&gt;=WBS!$C28,O$4&lt;=WBS!$D28),"□","")))</f>
        <v/>
      </c>
      <c r="P27" s="22" t="str">
        <f>IF(WBS!$C28="","",IF(AND(WBS!$E28&lt;&gt;"",P$4&gt;=WBS!$E28,P$4&lt;=WBS!$F28),"■",IF(AND(P$4&gt;=WBS!$C28,P$4&lt;=WBS!$D28),"□","")))</f>
        <v/>
      </c>
      <c r="Q27" s="22" t="str">
        <f>IF(WBS!$C28="","",IF(AND(WBS!$E28&lt;&gt;"",Q$4&gt;=WBS!$E28,Q$4&lt;=WBS!$F28),"■",IF(AND(Q$4&gt;=WBS!$C28,Q$4&lt;=WBS!$D28),"□","")))</f>
        <v/>
      </c>
      <c r="R27" s="22" t="str">
        <f>IF(WBS!$C28="","",IF(AND(WBS!$E28&lt;&gt;"",R$4&gt;=WBS!$E28,R$4&lt;=WBS!$F28),"■",IF(AND(R$4&gt;=WBS!$C28,R$4&lt;=WBS!$D28),"□","")))</f>
        <v>□</v>
      </c>
      <c r="S27" s="22" t="str">
        <f>IF(WBS!$C28="","",IF(AND(WBS!$E28&lt;&gt;"",S$4&gt;=WBS!$E28,S$4&lt;=WBS!$F28),"■",IF(AND(S$4&gt;=WBS!$C28,S$4&lt;=WBS!$D28),"□","")))</f>
        <v/>
      </c>
      <c r="T27" s="22" t="str">
        <f>IF(WBS!$C28="","",IF(AND(WBS!$E28&lt;&gt;"",T$4&gt;=WBS!$E28,T$4&lt;=WBS!$F28),"■",IF(AND(T$4&gt;=WBS!$C28,T$4&lt;=WBS!$D28),"□","")))</f>
        <v/>
      </c>
    </row>
    <row r="28" spans="1:20" x14ac:dyDescent="0.3">
      <c r="A28" s="21" t="str">
        <f>WBS!A29</f>
        <v>5</v>
      </c>
      <c r="B28" s="21" t="str">
        <f>WBS!B29</f>
        <v>Thuyết trình và nộp bài</v>
      </c>
      <c r="C28" s="22" t="str">
        <f>IF(WBS!$C29="","",IF(AND(WBS!$E29&lt;&gt;"",C$4&gt;=WBS!$E29,C$4&lt;=WBS!$F29),"■",IF(AND(C$4&gt;=WBS!$C29,C$4&lt;=WBS!$D29),"□","")))</f>
        <v/>
      </c>
      <c r="D28" s="22" t="str">
        <f>IF(WBS!$C29="","",IF(AND(WBS!$E29&lt;&gt;"",D$4&gt;=WBS!$E29,D$4&lt;=WBS!$F29),"■",IF(AND(D$4&gt;=WBS!$C29,D$4&lt;=WBS!$D29),"□","")))</f>
        <v/>
      </c>
      <c r="E28" s="22" t="str">
        <f>IF(WBS!$C29="","",IF(AND(WBS!$E29&lt;&gt;"",E$4&gt;=WBS!$E29,E$4&lt;=WBS!$F29),"■",IF(AND(E$4&gt;=WBS!$C29,E$4&lt;=WBS!$D29),"□","")))</f>
        <v/>
      </c>
      <c r="F28" s="22" t="str">
        <f>IF(WBS!$C29="","",IF(AND(WBS!$E29&lt;&gt;"",F$4&gt;=WBS!$E29,F$4&lt;=WBS!$F29),"■",IF(AND(F$4&gt;=WBS!$C29,F$4&lt;=WBS!$D29),"□","")))</f>
        <v/>
      </c>
      <c r="G28" s="22" t="str">
        <f>IF(WBS!$C29="","",IF(AND(WBS!$E29&lt;&gt;"",G$4&gt;=WBS!$E29,G$4&lt;=WBS!$F29),"■",IF(AND(G$4&gt;=WBS!$C29,G$4&lt;=WBS!$D29),"□","")))</f>
        <v/>
      </c>
      <c r="H28" s="22" t="str">
        <f>IF(WBS!$C29="","",IF(AND(WBS!$E29&lt;&gt;"",H$4&gt;=WBS!$E29,H$4&lt;=WBS!$F29),"■",IF(AND(H$4&gt;=WBS!$C29,H$4&lt;=WBS!$D29),"□","")))</f>
        <v/>
      </c>
      <c r="I28" s="22" t="str">
        <f>IF(WBS!$C29="","",IF(AND(WBS!$E29&lt;&gt;"",I$4&gt;=WBS!$E29,I$4&lt;=WBS!$F29),"■",IF(AND(I$4&gt;=WBS!$C29,I$4&lt;=WBS!$D29),"□","")))</f>
        <v/>
      </c>
      <c r="J28" s="22" t="str">
        <f>IF(WBS!$C29="","",IF(AND(WBS!$E29&lt;&gt;"",J$4&gt;=WBS!$E29,J$4&lt;=WBS!$F29),"■",IF(AND(J$4&gt;=WBS!$C29,J$4&lt;=WBS!$D29),"□","")))</f>
        <v/>
      </c>
      <c r="K28" s="22" t="str">
        <f>IF(WBS!$C29="","",IF(AND(WBS!$E29&lt;&gt;"",K$4&gt;=WBS!$E29,K$4&lt;=WBS!$F29),"■",IF(AND(K$4&gt;=WBS!$C29,K$4&lt;=WBS!$D29),"□","")))</f>
        <v/>
      </c>
      <c r="L28" s="22" t="str">
        <f>IF(WBS!$C29="","",IF(AND(WBS!$E29&lt;&gt;"",L$4&gt;=WBS!$E29,L$4&lt;=WBS!$F29),"■",IF(AND(L$4&gt;=WBS!$C29,L$4&lt;=WBS!$D29),"□","")))</f>
        <v/>
      </c>
      <c r="M28" s="22" t="str">
        <f>IF(WBS!$C29="","",IF(AND(WBS!$E29&lt;&gt;"",M$4&gt;=WBS!$E29,M$4&lt;=WBS!$F29),"■",IF(AND(M$4&gt;=WBS!$C29,M$4&lt;=WBS!$D29),"□","")))</f>
        <v/>
      </c>
      <c r="N28" s="22" t="str">
        <f>IF(WBS!$C29="","",IF(AND(WBS!$E29&lt;&gt;"",N$4&gt;=WBS!$E29,N$4&lt;=WBS!$F29),"■",IF(AND(N$4&gt;=WBS!$C29,N$4&lt;=WBS!$D29),"□","")))</f>
        <v/>
      </c>
      <c r="O28" s="22" t="str">
        <f>IF(WBS!$C29="","",IF(AND(WBS!$E29&lt;&gt;"",O$4&gt;=WBS!$E29,O$4&lt;=WBS!$F29),"■",IF(AND(O$4&gt;=WBS!$C29,O$4&lt;=WBS!$D29),"□","")))</f>
        <v/>
      </c>
      <c r="P28" s="22" t="str">
        <f>IF(WBS!$C29="","",IF(AND(WBS!$E29&lt;&gt;"",P$4&gt;=WBS!$E29,P$4&lt;=WBS!$F29),"■",IF(AND(P$4&gt;=WBS!$C29,P$4&lt;=WBS!$D29),"□","")))</f>
        <v/>
      </c>
      <c r="Q28" s="22" t="str">
        <f>IF(WBS!$C29="","",IF(AND(WBS!$E29&lt;&gt;"",Q$4&gt;=WBS!$E29,Q$4&lt;=WBS!$F29),"■",IF(AND(Q$4&gt;=WBS!$C29,Q$4&lt;=WBS!$D29),"□","")))</f>
        <v/>
      </c>
      <c r="R28" s="22" t="str">
        <f>IF(WBS!$C29="","",IF(AND(WBS!$E29&lt;&gt;"",R$4&gt;=WBS!$E29,R$4&lt;=WBS!$F29),"■",IF(AND(R$4&gt;=WBS!$C29,R$4&lt;=WBS!$D29),"□","")))</f>
        <v/>
      </c>
      <c r="S28" s="22" t="str">
        <f>IF(WBS!$C29="","",IF(AND(WBS!$E29&lt;&gt;"",S$4&gt;=WBS!$E29,S$4&lt;=WBS!$F29),"■",IF(AND(S$4&gt;=WBS!$C29,S$4&lt;=WBS!$D29),"□","")))</f>
        <v>□</v>
      </c>
      <c r="T28" s="22" t="str">
        <f>IF(WBS!$C29="","",IF(AND(WBS!$E29&lt;&gt;"",T$4&gt;=WBS!$E29,T$4&lt;=WBS!$F29),"■",IF(AND(T$4&gt;=WBS!$C29,T$4&lt;=WBS!$D29),"□","")))</f>
        <v>□</v>
      </c>
    </row>
    <row r="29" spans="1:20" x14ac:dyDescent="0.3">
      <c r="A29" s="21" t="str">
        <f>WBS!A30</f>
        <v>5.1</v>
      </c>
      <c r="B29" s="21" t="str">
        <f>WBS!B30</f>
        <v>Làm slide (≤ 15 slide nội dung)</v>
      </c>
      <c r="C29" s="22" t="str">
        <f>IF(WBS!$C30="","",IF(AND(WBS!$E30&lt;&gt;"",C$4&gt;=WBS!$E30,C$4&lt;=WBS!$F30),"■",IF(AND(C$4&gt;=WBS!$C30,C$4&lt;=WBS!$D30),"□","")))</f>
        <v/>
      </c>
      <c r="D29" s="22" t="str">
        <f>IF(WBS!$C30="","",IF(AND(WBS!$E30&lt;&gt;"",D$4&gt;=WBS!$E30,D$4&lt;=WBS!$F30),"■",IF(AND(D$4&gt;=WBS!$C30,D$4&lt;=WBS!$D30),"□","")))</f>
        <v/>
      </c>
      <c r="E29" s="22" t="str">
        <f>IF(WBS!$C30="","",IF(AND(WBS!$E30&lt;&gt;"",E$4&gt;=WBS!$E30,E$4&lt;=WBS!$F30),"■",IF(AND(E$4&gt;=WBS!$C30,E$4&lt;=WBS!$D30),"□","")))</f>
        <v/>
      </c>
      <c r="F29" s="22" t="str">
        <f>IF(WBS!$C30="","",IF(AND(WBS!$E30&lt;&gt;"",F$4&gt;=WBS!$E30,F$4&lt;=WBS!$F30),"■",IF(AND(F$4&gt;=WBS!$C30,F$4&lt;=WBS!$D30),"□","")))</f>
        <v/>
      </c>
      <c r="G29" s="22" t="str">
        <f>IF(WBS!$C30="","",IF(AND(WBS!$E30&lt;&gt;"",G$4&gt;=WBS!$E30,G$4&lt;=WBS!$F30),"■",IF(AND(G$4&gt;=WBS!$C30,G$4&lt;=WBS!$D30),"□","")))</f>
        <v/>
      </c>
      <c r="H29" s="22" t="str">
        <f>IF(WBS!$C30="","",IF(AND(WBS!$E30&lt;&gt;"",H$4&gt;=WBS!$E30,H$4&lt;=WBS!$F30),"■",IF(AND(H$4&gt;=WBS!$C30,H$4&lt;=WBS!$D30),"□","")))</f>
        <v/>
      </c>
      <c r="I29" s="22" t="str">
        <f>IF(WBS!$C30="","",IF(AND(WBS!$E30&lt;&gt;"",I$4&gt;=WBS!$E30,I$4&lt;=WBS!$F30),"■",IF(AND(I$4&gt;=WBS!$C30,I$4&lt;=WBS!$D30),"□","")))</f>
        <v/>
      </c>
      <c r="J29" s="22" t="str">
        <f>IF(WBS!$C30="","",IF(AND(WBS!$E30&lt;&gt;"",J$4&gt;=WBS!$E30,J$4&lt;=WBS!$F30),"■",IF(AND(J$4&gt;=WBS!$C30,J$4&lt;=WBS!$D30),"□","")))</f>
        <v/>
      </c>
      <c r="K29" s="22" t="str">
        <f>IF(WBS!$C30="","",IF(AND(WBS!$E30&lt;&gt;"",K$4&gt;=WBS!$E30,K$4&lt;=WBS!$F30),"■",IF(AND(K$4&gt;=WBS!$C30,K$4&lt;=WBS!$D30),"□","")))</f>
        <v/>
      </c>
      <c r="L29" s="22" t="str">
        <f>IF(WBS!$C30="","",IF(AND(WBS!$E30&lt;&gt;"",L$4&gt;=WBS!$E30,L$4&lt;=WBS!$F30),"■",IF(AND(L$4&gt;=WBS!$C30,L$4&lt;=WBS!$D30),"□","")))</f>
        <v/>
      </c>
      <c r="M29" s="22" t="str">
        <f>IF(WBS!$C30="","",IF(AND(WBS!$E30&lt;&gt;"",M$4&gt;=WBS!$E30,M$4&lt;=WBS!$F30),"■",IF(AND(M$4&gt;=WBS!$C30,M$4&lt;=WBS!$D30),"□","")))</f>
        <v/>
      </c>
      <c r="N29" s="22" t="str">
        <f>IF(WBS!$C30="","",IF(AND(WBS!$E30&lt;&gt;"",N$4&gt;=WBS!$E30,N$4&lt;=WBS!$F30),"■",IF(AND(N$4&gt;=WBS!$C30,N$4&lt;=WBS!$D30),"□","")))</f>
        <v/>
      </c>
      <c r="O29" s="22" t="str">
        <f>IF(WBS!$C30="","",IF(AND(WBS!$E30&lt;&gt;"",O$4&gt;=WBS!$E30,O$4&lt;=WBS!$F30),"■",IF(AND(O$4&gt;=WBS!$C30,O$4&lt;=WBS!$D30),"□","")))</f>
        <v/>
      </c>
      <c r="P29" s="22" t="str">
        <f>IF(WBS!$C30="","",IF(AND(WBS!$E30&lt;&gt;"",P$4&gt;=WBS!$E30,P$4&lt;=WBS!$F30),"■",IF(AND(P$4&gt;=WBS!$C30,P$4&lt;=WBS!$D30),"□","")))</f>
        <v/>
      </c>
      <c r="Q29" s="22" t="str">
        <f>IF(WBS!$C30="","",IF(AND(WBS!$E30&lt;&gt;"",Q$4&gt;=WBS!$E30,Q$4&lt;=WBS!$F30),"■",IF(AND(Q$4&gt;=WBS!$C30,Q$4&lt;=WBS!$D30),"□","")))</f>
        <v/>
      </c>
      <c r="R29" s="22" t="str">
        <f>IF(WBS!$C30="","",IF(AND(WBS!$E30&lt;&gt;"",R$4&gt;=WBS!$E30,R$4&lt;=WBS!$F30),"■",IF(AND(R$4&gt;=WBS!$C30,R$4&lt;=WBS!$D30),"□","")))</f>
        <v/>
      </c>
      <c r="S29" s="22" t="str">
        <f>IF(WBS!$C30="","",IF(AND(WBS!$E30&lt;&gt;"",S$4&gt;=WBS!$E30,S$4&lt;=WBS!$F30),"■",IF(AND(S$4&gt;=WBS!$C30,S$4&lt;=WBS!$D30),"□","")))</f>
        <v>□</v>
      </c>
      <c r="T29" s="22" t="str">
        <f>IF(WBS!$C30="","",IF(AND(WBS!$E30&lt;&gt;"",T$4&gt;=WBS!$E30,T$4&lt;=WBS!$F30),"■",IF(AND(T$4&gt;=WBS!$C30,T$4&lt;=WBS!$D30),"□","")))</f>
        <v/>
      </c>
    </row>
    <row r="30" spans="1:20" x14ac:dyDescent="0.3">
      <c r="A30" s="21" t="str">
        <f>WBS!A31</f>
        <v>5.2</v>
      </c>
      <c r="B30" s="21" t="str">
        <f>WBS!B31</f>
        <v>Tập thuyết trình, soạn câu hỏi</v>
      </c>
      <c r="C30" s="22" t="str">
        <f>IF(WBS!$C31="","",IF(AND(WBS!$E31&lt;&gt;"",C$4&gt;=WBS!$E31,C$4&lt;=WBS!$F31),"■",IF(AND(C$4&gt;=WBS!$C31,C$4&lt;=WBS!$D31),"□","")))</f>
        <v/>
      </c>
      <c r="D30" s="22" t="str">
        <f>IF(WBS!$C31="","",IF(AND(WBS!$E31&lt;&gt;"",D$4&gt;=WBS!$E31,D$4&lt;=WBS!$F31),"■",IF(AND(D$4&gt;=WBS!$C31,D$4&lt;=WBS!$D31),"□","")))</f>
        <v/>
      </c>
      <c r="E30" s="22" t="str">
        <f>IF(WBS!$C31="","",IF(AND(WBS!$E31&lt;&gt;"",E$4&gt;=WBS!$E31,E$4&lt;=WBS!$F31),"■",IF(AND(E$4&gt;=WBS!$C31,E$4&lt;=WBS!$D31),"□","")))</f>
        <v/>
      </c>
      <c r="F30" s="22" t="str">
        <f>IF(WBS!$C31="","",IF(AND(WBS!$E31&lt;&gt;"",F$4&gt;=WBS!$E31,F$4&lt;=WBS!$F31),"■",IF(AND(F$4&gt;=WBS!$C31,F$4&lt;=WBS!$D31),"□","")))</f>
        <v/>
      </c>
      <c r="G30" s="22" t="str">
        <f>IF(WBS!$C31="","",IF(AND(WBS!$E31&lt;&gt;"",G$4&gt;=WBS!$E31,G$4&lt;=WBS!$F31),"■",IF(AND(G$4&gt;=WBS!$C31,G$4&lt;=WBS!$D31),"□","")))</f>
        <v/>
      </c>
      <c r="H30" s="22" t="str">
        <f>IF(WBS!$C31="","",IF(AND(WBS!$E31&lt;&gt;"",H$4&gt;=WBS!$E31,H$4&lt;=WBS!$F31),"■",IF(AND(H$4&gt;=WBS!$C31,H$4&lt;=WBS!$D31),"□","")))</f>
        <v/>
      </c>
      <c r="I30" s="22" t="str">
        <f>IF(WBS!$C31="","",IF(AND(WBS!$E31&lt;&gt;"",I$4&gt;=WBS!$E31,I$4&lt;=WBS!$F31),"■",IF(AND(I$4&gt;=WBS!$C31,I$4&lt;=WBS!$D31),"□","")))</f>
        <v/>
      </c>
      <c r="J30" s="22" t="str">
        <f>IF(WBS!$C31="","",IF(AND(WBS!$E31&lt;&gt;"",J$4&gt;=WBS!$E31,J$4&lt;=WBS!$F31),"■",IF(AND(J$4&gt;=WBS!$C31,J$4&lt;=WBS!$D31),"□","")))</f>
        <v/>
      </c>
      <c r="K30" s="22" t="str">
        <f>IF(WBS!$C31="","",IF(AND(WBS!$E31&lt;&gt;"",K$4&gt;=WBS!$E31,K$4&lt;=WBS!$F31),"■",IF(AND(K$4&gt;=WBS!$C31,K$4&lt;=WBS!$D31),"□","")))</f>
        <v/>
      </c>
      <c r="L30" s="22" t="str">
        <f>IF(WBS!$C31="","",IF(AND(WBS!$E31&lt;&gt;"",L$4&gt;=WBS!$E31,L$4&lt;=WBS!$F31),"■",IF(AND(L$4&gt;=WBS!$C31,L$4&lt;=WBS!$D31),"□","")))</f>
        <v/>
      </c>
      <c r="M30" s="22" t="str">
        <f>IF(WBS!$C31="","",IF(AND(WBS!$E31&lt;&gt;"",M$4&gt;=WBS!$E31,M$4&lt;=WBS!$F31),"■",IF(AND(M$4&gt;=WBS!$C31,M$4&lt;=WBS!$D31),"□","")))</f>
        <v/>
      </c>
      <c r="N30" s="22" t="str">
        <f>IF(WBS!$C31="","",IF(AND(WBS!$E31&lt;&gt;"",N$4&gt;=WBS!$E31,N$4&lt;=WBS!$F31),"■",IF(AND(N$4&gt;=WBS!$C31,N$4&lt;=WBS!$D31),"□","")))</f>
        <v/>
      </c>
      <c r="O30" s="22" t="str">
        <f>IF(WBS!$C31="","",IF(AND(WBS!$E31&lt;&gt;"",O$4&gt;=WBS!$E31,O$4&lt;=WBS!$F31),"■",IF(AND(O$4&gt;=WBS!$C31,O$4&lt;=WBS!$D31),"□","")))</f>
        <v/>
      </c>
      <c r="P30" s="22" t="str">
        <f>IF(WBS!$C31="","",IF(AND(WBS!$E31&lt;&gt;"",P$4&gt;=WBS!$E31,P$4&lt;=WBS!$F31),"■",IF(AND(P$4&gt;=WBS!$C31,P$4&lt;=WBS!$D31),"□","")))</f>
        <v/>
      </c>
      <c r="Q30" s="22" t="str">
        <f>IF(WBS!$C31="","",IF(AND(WBS!$E31&lt;&gt;"",Q$4&gt;=WBS!$E31,Q$4&lt;=WBS!$F31),"■",IF(AND(Q$4&gt;=WBS!$C31,Q$4&lt;=WBS!$D31),"□","")))</f>
        <v/>
      </c>
      <c r="R30" s="22" t="str">
        <f>IF(WBS!$C31="","",IF(AND(WBS!$E31&lt;&gt;"",R$4&gt;=WBS!$E31,R$4&lt;=WBS!$F31),"■",IF(AND(R$4&gt;=WBS!$C31,R$4&lt;=WBS!$D31),"□","")))</f>
        <v/>
      </c>
      <c r="S30" s="22" t="str">
        <f>IF(WBS!$C31="","",IF(AND(WBS!$E31&lt;&gt;"",S$4&gt;=WBS!$E31,S$4&lt;=WBS!$F31),"■",IF(AND(S$4&gt;=WBS!$C31,S$4&lt;=WBS!$D31),"□","")))</f>
        <v>□</v>
      </c>
      <c r="T30" s="22" t="str">
        <f>IF(WBS!$C31="","",IF(AND(WBS!$E31&lt;&gt;"",T$4&gt;=WBS!$E31,T$4&lt;=WBS!$F31),"■",IF(AND(T$4&gt;=WBS!$C31,T$4&lt;=WBS!$D31),"□","")))</f>
        <v/>
      </c>
    </row>
    <row r="31" spans="1:20" x14ac:dyDescent="0.3">
      <c r="A31" s="21" t="str">
        <f>WBS!A32</f>
        <v>5.3</v>
      </c>
      <c r="B31" s="21" t="str">
        <f>WBS!B32</f>
        <v>Nộp bài</v>
      </c>
      <c r="C31" s="22" t="str">
        <f>IF(WBS!$C32="","",IF(AND(WBS!$E32&lt;&gt;"",C$4&gt;=WBS!$E32,C$4&lt;=WBS!$F32),"■",IF(AND(C$4&gt;=WBS!$C32,C$4&lt;=WBS!$D32),"□","")))</f>
        <v/>
      </c>
      <c r="D31" s="22" t="str">
        <f>IF(WBS!$C32="","",IF(AND(WBS!$E32&lt;&gt;"",D$4&gt;=WBS!$E32,D$4&lt;=WBS!$F32),"■",IF(AND(D$4&gt;=WBS!$C32,D$4&lt;=WBS!$D32),"□","")))</f>
        <v/>
      </c>
      <c r="E31" s="22" t="str">
        <f>IF(WBS!$C32="","",IF(AND(WBS!$E32&lt;&gt;"",E$4&gt;=WBS!$E32,E$4&lt;=WBS!$F32),"■",IF(AND(E$4&gt;=WBS!$C32,E$4&lt;=WBS!$D32),"□","")))</f>
        <v/>
      </c>
      <c r="F31" s="22" t="str">
        <f>IF(WBS!$C32="","",IF(AND(WBS!$E32&lt;&gt;"",F$4&gt;=WBS!$E32,F$4&lt;=WBS!$F32),"■",IF(AND(F$4&gt;=WBS!$C32,F$4&lt;=WBS!$D32),"□","")))</f>
        <v/>
      </c>
      <c r="G31" s="22" t="str">
        <f>IF(WBS!$C32="","",IF(AND(WBS!$E32&lt;&gt;"",G$4&gt;=WBS!$E32,G$4&lt;=WBS!$F32),"■",IF(AND(G$4&gt;=WBS!$C32,G$4&lt;=WBS!$D32),"□","")))</f>
        <v/>
      </c>
      <c r="H31" s="22" t="str">
        <f>IF(WBS!$C32="","",IF(AND(WBS!$E32&lt;&gt;"",H$4&gt;=WBS!$E32,H$4&lt;=WBS!$F32),"■",IF(AND(H$4&gt;=WBS!$C32,H$4&lt;=WBS!$D32),"□","")))</f>
        <v/>
      </c>
      <c r="I31" s="22" t="str">
        <f>IF(WBS!$C32="","",IF(AND(WBS!$E32&lt;&gt;"",I$4&gt;=WBS!$E32,I$4&lt;=WBS!$F32),"■",IF(AND(I$4&gt;=WBS!$C32,I$4&lt;=WBS!$D32),"□","")))</f>
        <v/>
      </c>
      <c r="J31" s="22" t="str">
        <f>IF(WBS!$C32="","",IF(AND(WBS!$E32&lt;&gt;"",J$4&gt;=WBS!$E32,J$4&lt;=WBS!$F32),"■",IF(AND(J$4&gt;=WBS!$C32,J$4&lt;=WBS!$D32),"□","")))</f>
        <v/>
      </c>
      <c r="K31" s="22" t="str">
        <f>IF(WBS!$C32="","",IF(AND(WBS!$E32&lt;&gt;"",K$4&gt;=WBS!$E32,K$4&lt;=WBS!$F32),"■",IF(AND(K$4&gt;=WBS!$C32,K$4&lt;=WBS!$D32),"□","")))</f>
        <v/>
      </c>
      <c r="L31" s="22" t="str">
        <f>IF(WBS!$C32="","",IF(AND(WBS!$E32&lt;&gt;"",L$4&gt;=WBS!$E32,L$4&lt;=WBS!$F32),"■",IF(AND(L$4&gt;=WBS!$C32,L$4&lt;=WBS!$D32),"□","")))</f>
        <v/>
      </c>
      <c r="M31" s="22" t="str">
        <f>IF(WBS!$C32="","",IF(AND(WBS!$E32&lt;&gt;"",M$4&gt;=WBS!$E32,M$4&lt;=WBS!$F32),"■",IF(AND(M$4&gt;=WBS!$C32,M$4&lt;=WBS!$D32),"□","")))</f>
        <v/>
      </c>
      <c r="N31" s="22" t="str">
        <f>IF(WBS!$C32="","",IF(AND(WBS!$E32&lt;&gt;"",N$4&gt;=WBS!$E32,N$4&lt;=WBS!$F32),"■",IF(AND(N$4&gt;=WBS!$C32,N$4&lt;=WBS!$D32),"□","")))</f>
        <v/>
      </c>
      <c r="O31" s="22" t="str">
        <f>IF(WBS!$C32="","",IF(AND(WBS!$E32&lt;&gt;"",O$4&gt;=WBS!$E32,O$4&lt;=WBS!$F32),"■",IF(AND(O$4&gt;=WBS!$C32,O$4&lt;=WBS!$D32),"□","")))</f>
        <v/>
      </c>
      <c r="P31" s="22" t="str">
        <f>IF(WBS!$C32="","",IF(AND(WBS!$E32&lt;&gt;"",P$4&gt;=WBS!$E32,P$4&lt;=WBS!$F32),"■",IF(AND(P$4&gt;=WBS!$C32,P$4&lt;=WBS!$D32),"□","")))</f>
        <v/>
      </c>
      <c r="Q31" s="22" t="str">
        <f>IF(WBS!$C32="","",IF(AND(WBS!$E32&lt;&gt;"",Q$4&gt;=WBS!$E32,Q$4&lt;=WBS!$F32),"■",IF(AND(Q$4&gt;=WBS!$C32,Q$4&lt;=WBS!$D32),"□","")))</f>
        <v/>
      </c>
      <c r="R31" s="22" t="str">
        <f>IF(WBS!$C32="","",IF(AND(WBS!$E32&lt;&gt;"",R$4&gt;=WBS!$E32,R$4&lt;=WBS!$F32),"■",IF(AND(R$4&gt;=WBS!$C32,R$4&lt;=WBS!$D32),"□","")))</f>
        <v/>
      </c>
      <c r="S31" s="22" t="str">
        <f>IF(WBS!$C32="","",IF(AND(WBS!$E32&lt;&gt;"",S$4&gt;=WBS!$E32,S$4&lt;=WBS!$F32),"■",IF(AND(S$4&gt;=WBS!$C32,S$4&lt;=WBS!$D32),"□","")))</f>
        <v/>
      </c>
      <c r="T31" s="22" t="str">
        <f>IF(WBS!$C32="","",IF(AND(WBS!$E32&lt;&gt;"",T$4&gt;=WBS!$E32,T$4&lt;=WBS!$F32),"■",IF(AND(T$4&gt;=WBS!$C32,T$4&lt;=WBS!$D32),"□","")))</f>
        <v>□</v>
      </c>
    </row>
    <row r="32" spans="1:20" x14ac:dyDescent="0.3">
      <c r="A32" s="21" t="str">
        <f>WBS!A33</f>
        <v>6</v>
      </c>
      <c r="B32" s="21" t="str">
        <f>WBS!B33</f>
        <v>Quản lý dự án</v>
      </c>
      <c r="C32" s="22" t="str">
        <f>IF(WBS!$C33="","",IF(AND(WBS!$E33&lt;&gt;"",C$4&gt;=WBS!$E33,C$4&lt;=WBS!$F33),"■",IF(AND(C$4&gt;=WBS!$C33,C$4&lt;=WBS!$D33),"□","")))</f>
        <v/>
      </c>
      <c r="D32" s="22" t="str">
        <f>IF(WBS!$C33="","",IF(AND(WBS!$E33&lt;&gt;"",D$4&gt;=WBS!$E33,D$4&lt;=WBS!$F33),"■",IF(AND(D$4&gt;=WBS!$C33,D$4&lt;=WBS!$D33),"□","")))</f>
        <v/>
      </c>
      <c r="E32" s="22" t="str">
        <f>IF(WBS!$C33="","",IF(AND(WBS!$E33&lt;&gt;"",E$4&gt;=WBS!$E33,E$4&lt;=WBS!$F33),"■",IF(AND(E$4&gt;=WBS!$C33,E$4&lt;=WBS!$D33),"□","")))</f>
        <v/>
      </c>
      <c r="F32" s="22" t="str">
        <f>IF(WBS!$C33="","",IF(AND(WBS!$E33&lt;&gt;"",F$4&gt;=WBS!$E33,F$4&lt;=WBS!$F33),"■",IF(AND(F$4&gt;=WBS!$C33,F$4&lt;=WBS!$D33),"□","")))</f>
        <v/>
      </c>
      <c r="G32" s="22" t="str">
        <f>IF(WBS!$C33="","",IF(AND(WBS!$E33&lt;&gt;"",G$4&gt;=WBS!$E33,G$4&lt;=WBS!$F33),"■",IF(AND(G$4&gt;=WBS!$C33,G$4&lt;=WBS!$D33),"□","")))</f>
        <v/>
      </c>
      <c r="H32" s="22" t="str">
        <f>IF(WBS!$C33="","",IF(AND(WBS!$E33&lt;&gt;"",H$4&gt;=WBS!$E33,H$4&lt;=WBS!$F33),"■",IF(AND(H$4&gt;=WBS!$C33,H$4&lt;=WBS!$D33),"□","")))</f>
        <v/>
      </c>
      <c r="I32" s="22" t="str">
        <f>IF(WBS!$C33="","",IF(AND(WBS!$E33&lt;&gt;"",I$4&gt;=WBS!$E33,I$4&lt;=WBS!$F33),"■",IF(AND(I$4&gt;=WBS!$C33,I$4&lt;=WBS!$D33),"□","")))</f>
        <v/>
      </c>
      <c r="J32" s="22" t="str">
        <f>IF(WBS!$C33="","",IF(AND(WBS!$E33&lt;&gt;"",J$4&gt;=WBS!$E33,J$4&lt;=WBS!$F33),"■",IF(AND(J$4&gt;=WBS!$C33,J$4&lt;=WBS!$D33),"□","")))</f>
        <v/>
      </c>
      <c r="K32" s="22" t="str">
        <f>IF(WBS!$C33="","",IF(AND(WBS!$E33&lt;&gt;"",K$4&gt;=WBS!$E33,K$4&lt;=WBS!$F33),"■",IF(AND(K$4&gt;=WBS!$C33,K$4&lt;=WBS!$D33),"□","")))</f>
        <v>□</v>
      </c>
      <c r="L32" s="22" t="str">
        <f>IF(WBS!$C33="","",IF(AND(WBS!$E33&lt;&gt;"",L$4&gt;=WBS!$E33,L$4&lt;=WBS!$F33),"■",IF(AND(L$4&gt;=WBS!$C33,L$4&lt;=WBS!$D33),"□","")))</f>
        <v/>
      </c>
      <c r="M32" s="22" t="str">
        <f>IF(WBS!$C33="","",IF(AND(WBS!$E33&lt;&gt;"",M$4&gt;=WBS!$E33,M$4&lt;=WBS!$F33),"■",IF(AND(M$4&gt;=WBS!$C33,M$4&lt;=WBS!$D33),"□","")))</f>
        <v/>
      </c>
      <c r="N32" s="22" t="str">
        <f>IF(WBS!$C33="","",IF(AND(WBS!$E33&lt;&gt;"",N$4&gt;=WBS!$E33,N$4&lt;=WBS!$F33),"■",IF(AND(N$4&gt;=WBS!$C33,N$4&lt;=WBS!$D33),"□","")))</f>
        <v/>
      </c>
      <c r="O32" s="22" t="str">
        <f>IF(WBS!$C33="","",IF(AND(WBS!$E33&lt;&gt;"",O$4&gt;=WBS!$E33,O$4&lt;=WBS!$F33),"■",IF(AND(O$4&gt;=WBS!$C33,O$4&lt;=WBS!$D33),"□","")))</f>
        <v/>
      </c>
      <c r="P32" s="22" t="str">
        <f>IF(WBS!$C33="","",IF(AND(WBS!$E33&lt;&gt;"",P$4&gt;=WBS!$E33,P$4&lt;=WBS!$F33),"■",IF(AND(P$4&gt;=WBS!$C33,P$4&lt;=WBS!$D33),"□","")))</f>
        <v/>
      </c>
      <c r="Q32" s="22" t="str">
        <f>IF(WBS!$C33="","",IF(AND(WBS!$E33&lt;&gt;"",Q$4&gt;=WBS!$E33,Q$4&lt;=WBS!$F33),"■",IF(AND(Q$4&gt;=WBS!$C33,Q$4&lt;=WBS!$D33),"□","")))</f>
        <v/>
      </c>
      <c r="R32" s="22" t="str">
        <f>IF(WBS!$C33="","",IF(AND(WBS!$E33&lt;&gt;"",R$4&gt;=WBS!$E33,R$4&lt;=WBS!$F33),"■",IF(AND(R$4&gt;=WBS!$C33,R$4&lt;=WBS!$D33),"□","")))</f>
        <v/>
      </c>
      <c r="S32" s="22" t="str">
        <f>IF(WBS!$C33="","",IF(AND(WBS!$E33&lt;&gt;"",S$4&gt;=WBS!$E33,S$4&lt;=WBS!$F33),"■",IF(AND(S$4&gt;=WBS!$C33,S$4&lt;=WBS!$D33),"□","")))</f>
        <v/>
      </c>
      <c r="T32" s="22" t="str">
        <f>IF(WBS!$C33="","",IF(AND(WBS!$E33&lt;&gt;"",T$4&gt;=WBS!$E33,T$4&lt;=WBS!$F33),"■",IF(AND(T$4&gt;=WBS!$C33,T$4&lt;=WBS!$D33),"□","")))</f>
        <v/>
      </c>
    </row>
    <row r="33" spans="1:20" x14ac:dyDescent="0.3">
      <c r="A33" s="21" t="str">
        <f>WBS!A34</f>
        <v>6.1</v>
      </c>
      <c r="B33" s="21" t="str">
        <f>WBS!B34</f>
        <v>Lập WBS, Gantt, sổ rủi ro (Excel, MS Project)</v>
      </c>
      <c r="C33" s="22" t="str">
        <f>IF(WBS!$C34="","",IF(AND(WBS!$E34&lt;&gt;"",C$4&gt;=WBS!$E34,C$4&lt;=WBS!$F34),"■",IF(AND(C$4&gt;=WBS!$C34,C$4&lt;=WBS!$D34),"□","")))</f>
        <v/>
      </c>
      <c r="D33" s="22" t="str">
        <f>IF(WBS!$C34="","",IF(AND(WBS!$E34&lt;&gt;"",D$4&gt;=WBS!$E34,D$4&lt;=WBS!$F34),"■",IF(AND(D$4&gt;=WBS!$C34,D$4&lt;=WBS!$D34),"□","")))</f>
        <v/>
      </c>
      <c r="E33" s="22" t="str">
        <f>IF(WBS!$C34="","",IF(AND(WBS!$E34&lt;&gt;"",E$4&gt;=WBS!$E34,E$4&lt;=WBS!$F34),"■",IF(AND(E$4&gt;=WBS!$C34,E$4&lt;=WBS!$D34),"□","")))</f>
        <v/>
      </c>
      <c r="F33" s="22" t="str">
        <f>IF(WBS!$C34="","",IF(AND(WBS!$E34&lt;&gt;"",F$4&gt;=WBS!$E34,F$4&lt;=WBS!$F34),"■",IF(AND(F$4&gt;=WBS!$C34,F$4&lt;=WBS!$D34),"□","")))</f>
        <v/>
      </c>
      <c r="G33" s="22" t="str">
        <f>IF(WBS!$C34="","",IF(AND(WBS!$E34&lt;&gt;"",G$4&gt;=WBS!$E34,G$4&lt;=WBS!$F34),"■",IF(AND(G$4&gt;=WBS!$C34,G$4&lt;=WBS!$D34),"□","")))</f>
        <v/>
      </c>
      <c r="H33" s="22" t="str">
        <f>IF(WBS!$C34="","",IF(AND(WBS!$E34&lt;&gt;"",H$4&gt;=WBS!$E34,H$4&lt;=WBS!$F34),"■",IF(AND(H$4&gt;=WBS!$C34,H$4&lt;=WBS!$D34),"□","")))</f>
        <v/>
      </c>
      <c r="I33" s="22" t="str">
        <f>IF(WBS!$C34="","",IF(AND(WBS!$E34&lt;&gt;"",I$4&gt;=WBS!$E34,I$4&lt;=WBS!$F34),"■",IF(AND(I$4&gt;=WBS!$C34,I$4&lt;=WBS!$D34),"□","")))</f>
        <v/>
      </c>
      <c r="J33" s="22" t="str">
        <f>IF(WBS!$C34="","",IF(AND(WBS!$E34&lt;&gt;"",J$4&gt;=WBS!$E34,J$4&lt;=WBS!$F34),"■",IF(AND(J$4&gt;=WBS!$C34,J$4&lt;=WBS!$D34),"□","")))</f>
        <v/>
      </c>
      <c r="K33" s="22" t="str">
        <f>IF(WBS!$C34="","",IF(AND(WBS!$E34&lt;&gt;"",K$4&gt;=WBS!$E34,K$4&lt;=WBS!$F34),"■",IF(AND(K$4&gt;=WBS!$C34,K$4&lt;=WBS!$D34),"□","")))</f>
        <v>■</v>
      </c>
      <c r="L33" s="22" t="str">
        <f>IF(WBS!$C34="","",IF(AND(WBS!$E34&lt;&gt;"",L$4&gt;=WBS!$E34,L$4&lt;=WBS!$F34),"■",IF(AND(L$4&gt;=WBS!$C34,L$4&lt;=WBS!$D34),"□","")))</f>
        <v/>
      </c>
      <c r="M33" s="22" t="str">
        <f>IF(WBS!$C34="","",IF(AND(WBS!$E34&lt;&gt;"",M$4&gt;=WBS!$E34,M$4&lt;=WBS!$F34),"■",IF(AND(M$4&gt;=WBS!$C34,M$4&lt;=WBS!$D34),"□","")))</f>
        <v/>
      </c>
      <c r="N33" s="22" t="str">
        <f>IF(WBS!$C34="","",IF(AND(WBS!$E34&lt;&gt;"",N$4&gt;=WBS!$E34,N$4&lt;=WBS!$F34),"■",IF(AND(N$4&gt;=WBS!$C34,N$4&lt;=WBS!$D34),"□","")))</f>
        <v/>
      </c>
      <c r="O33" s="22" t="str">
        <f>IF(WBS!$C34="","",IF(AND(WBS!$E34&lt;&gt;"",O$4&gt;=WBS!$E34,O$4&lt;=WBS!$F34),"■",IF(AND(O$4&gt;=WBS!$C34,O$4&lt;=WBS!$D34),"□","")))</f>
        <v/>
      </c>
      <c r="P33" s="22" t="str">
        <f>IF(WBS!$C34="","",IF(AND(WBS!$E34&lt;&gt;"",P$4&gt;=WBS!$E34,P$4&lt;=WBS!$F34),"■",IF(AND(P$4&gt;=WBS!$C34,P$4&lt;=WBS!$D34),"□","")))</f>
        <v/>
      </c>
      <c r="Q33" s="22" t="str">
        <f>IF(WBS!$C34="","",IF(AND(WBS!$E34&lt;&gt;"",Q$4&gt;=WBS!$E34,Q$4&lt;=WBS!$F34),"■",IF(AND(Q$4&gt;=WBS!$C34,Q$4&lt;=WBS!$D34),"□","")))</f>
        <v/>
      </c>
      <c r="R33" s="22" t="str">
        <f>IF(WBS!$C34="","",IF(AND(WBS!$E34&lt;&gt;"",R$4&gt;=WBS!$E34,R$4&lt;=WBS!$F34),"■",IF(AND(R$4&gt;=WBS!$C34,R$4&lt;=WBS!$D34),"□","")))</f>
        <v/>
      </c>
      <c r="S33" s="22" t="str">
        <f>IF(WBS!$C34="","",IF(AND(WBS!$E34&lt;&gt;"",S$4&gt;=WBS!$E34,S$4&lt;=WBS!$F34),"■",IF(AND(S$4&gt;=WBS!$C34,S$4&lt;=WBS!$D34),"□","")))</f>
        <v/>
      </c>
      <c r="T33" s="22" t="str">
        <f>IF(WBS!$C34="","",IF(AND(WBS!$E34&lt;&gt;"",T$4&gt;=WBS!$E34,T$4&lt;=WBS!$F34),"■",IF(AND(T$4&gt;=WBS!$C34,T$4&lt;=WBS!$D34),"□","")))</f>
        <v/>
      </c>
    </row>
  </sheetData>
  <conditionalFormatting sqref="C5:T33">
    <cfRule type="expression" dxfId="7" priority="1">
      <formula>C5="■"</formula>
    </cfRule>
    <cfRule type="expression" dxfId="6" priority="2">
      <formula>C5="□"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100-000003000000}">
            <xm:f>C$4=WBS!$B$2</xm:f>
            <x14:dxf>
              <border>
                <left style="medium">
                  <color rgb="FFC00000"/>
                </left>
                <right style="medium">
                  <color rgb="FFC00000"/>
                </right>
              </border>
            </x14:dxf>
          </x14:cfRule>
          <xm:sqref>C4:T33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4" customWidth="1"/>
    <col min="3" max="3" width="30" customWidth="1"/>
    <col min="4" max="5" width="5" customWidth="1"/>
    <col min="6" max="6" width="7" customWidth="1"/>
    <col min="7" max="7" width="8" customWidth="1"/>
    <col min="8" max="8" width="12" customWidth="1"/>
    <col min="9" max="9" width="44" customWidth="1"/>
    <col min="10" max="10" width="11" customWidth="1"/>
    <col min="11" max="11" width="13" customWidth="1"/>
  </cols>
  <sheetData>
    <row r="1" spans="1:11" ht="16.8" x14ac:dyDescent="0.3">
      <c r="A1" s="1" t="s">
        <v>107</v>
      </c>
    </row>
    <row r="2" spans="1:11" x14ac:dyDescent="0.3">
      <c r="A2" s="4" t="s">
        <v>108</v>
      </c>
    </row>
    <row r="4" spans="1:11" ht="31.95" customHeight="1" x14ac:dyDescent="0.3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5" t="s">
        <v>114</v>
      </c>
      <c r="G4" s="5" t="s">
        <v>115</v>
      </c>
      <c r="H4" s="5" t="s">
        <v>116</v>
      </c>
      <c r="I4" s="5" t="s">
        <v>117</v>
      </c>
      <c r="J4" s="5" t="s">
        <v>118</v>
      </c>
      <c r="K4" s="5" t="s">
        <v>13</v>
      </c>
    </row>
    <row r="5" spans="1:11" ht="26.4" x14ac:dyDescent="0.3">
      <c r="A5" s="10" t="s">
        <v>119</v>
      </c>
      <c r="B5" s="11" t="s">
        <v>120</v>
      </c>
      <c r="C5" s="11" t="s">
        <v>121</v>
      </c>
      <c r="D5" s="23">
        <v>5</v>
      </c>
      <c r="E5" s="23">
        <v>4</v>
      </c>
      <c r="F5" s="24">
        <f t="shared" ref="F5:F13" si="0">D5*E5</f>
        <v>20</v>
      </c>
      <c r="G5" s="10" t="str">
        <f t="shared" ref="G5:G13" si="1">IF(F5&gt;=15,"Đỏ",IF(F5&gt;=8,"Vàng","Xanh"))</f>
        <v>Đỏ</v>
      </c>
      <c r="H5" s="23" t="s">
        <v>122</v>
      </c>
      <c r="I5" s="11" t="s">
        <v>123</v>
      </c>
      <c r="J5" s="10" t="s">
        <v>124</v>
      </c>
      <c r="K5" s="23" t="s">
        <v>125</v>
      </c>
    </row>
    <row r="6" spans="1:11" x14ac:dyDescent="0.3">
      <c r="A6" s="10" t="s">
        <v>126</v>
      </c>
      <c r="B6" s="11" t="s">
        <v>127</v>
      </c>
      <c r="C6" s="11" t="s">
        <v>128</v>
      </c>
      <c r="D6" s="23">
        <v>5</v>
      </c>
      <c r="E6" s="23">
        <v>3</v>
      </c>
      <c r="F6" s="24">
        <f t="shared" si="0"/>
        <v>15</v>
      </c>
      <c r="G6" s="10" t="str">
        <f t="shared" si="1"/>
        <v>Đỏ</v>
      </c>
      <c r="H6" s="23" t="s">
        <v>129</v>
      </c>
      <c r="I6" s="11" t="s">
        <v>130</v>
      </c>
      <c r="J6" s="10" t="s">
        <v>124</v>
      </c>
      <c r="K6" s="23" t="s">
        <v>131</v>
      </c>
    </row>
    <row r="7" spans="1:11" ht="26.4" x14ac:dyDescent="0.3">
      <c r="A7" s="10" t="s">
        <v>132</v>
      </c>
      <c r="B7" s="11" t="s">
        <v>133</v>
      </c>
      <c r="C7" s="11" t="s">
        <v>134</v>
      </c>
      <c r="D7" s="23">
        <v>4</v>
      </c>
      <c r="E7" s="23">
        <v>4</v>
      </c>
      <c r="F7" s="24">
        <f t="shared" si="0"/>
        <v>16</v>
      </c>
      <c r="G7" s="10" t="str">
        <f t="shared" si="1"/>
        <v>Đỏ</v>
      </c>
      <c r="H7" s="23" t="s">
        <v>122</v>
      </c>
      <c r="I7" s="11" t="s">
        <v>135</v>
      </c>
      <c r="J7" s="10" t="s">
        <v>124</v>
      </c>
      <c r="K7" s="23" t="s">
        <v>125</v>
      </c>
    </row>
    <row r="8" spans="1:11" x14ac:dyDescent="0.3">
      <c r="A8" s="10" t="s">
        <v>136</v>
      </c>
      <c r="B8" s="11" t="s">
        <v>137</v>
      </c>
      <c r="C8" s="11" t="s">
        <v>138</v>
      </c>
      <c r="D8" s="23">
        <v>3</v>
      </c>
      <c r="E8" s="23">
        <v>3</v>
      </c>
      <c r="F8" s="24">
        <f t="shared" si="0"/>
        <v>9</v>
      </c>
      <c r="G8" s="10" t="str">
        <f t="shared" si="1"/>
        <v>Vàng</v>
      </c>
      <c r="H8" s="23" t="s">
        <v>139</v>
      </c>
      <c r="I8" s="11" t="s">
        <v>140</v>
      </c>
      <c r="J8" s="10" t="s">
        <v>124</v>
      </c>
      <c r="K8" s="23" t="s">
        <v>141</v>
      </c>
    </row>
    <row r="9" spans="1:11" ht="26.4" x14ac:dyDescent="0.3">
      <c r="A9" s="10" t="s">
        <v>142</v>
      </c>
      <c r="B9" s="11" t="s">
        <v>143</v>
      </c>
      <c r="C9" s="11" t="s">
        <v>144</v>
      </c>
      <c r="D9" s="23">
        <v>2</v>
      </c>
      <c r="E9" s="23">
        <v>4</v>
      </c>
      <c r="F9" s="24">
        <f t="shared" si="0"/>
        <v>8</v>
      </c>
      <c r="G9" s="10" t="str">
        <f t="shared" si="1"/>
        <v>Vàng</v>
      </c>
      <c r="H9" s="23" t="s">
        <v>122</v>
      </c>
      <c r="I9" s="11" t="s">
        <v>145</v>
      </c>
      <c r="J9" s="10" t="s">
        <v>124</v>
      </c>
      <c r="K9" s="23" t="s">
        <v>141</v>
      </c>
    </row>
    <row r="10" spans="1:11" ht="26.4" x14ac:dyDescent="0.3">
      <c r="A10" s="10" t="s">
        <v>146</v>
      </c>
      <c r="B10" s="11" t="s">
        <v>147</v>
      </c>
      <c r="C10" s="11" t="s">
        <v>148</v>
      </c>
      <c r="D10" s="23">
        <v>3</v>
      </c>
      <c r="E10" s="23">
        <v>5</v>
      </c>
      <c r="F10" s="24">
        <f t="shared" si="0"/>
        <v>15</v>
      </c>
      <c r="G10" s="10" t="str">
        <f t="shared" si="1"/>
        <v>Đỏ</v>
      </c>
      <c r="H10" s="23" t="s">
        <v>122</v>
      </c>
      <c r="I10" s="11" t="s">
        <v>149</v>
      </c>
      <c r="J10" s="10" t="s">
        <v>124</v>
      </c>
      <c r="K10" s="23" t="s">
        <v>141</v>
      </c>
    </row>
    <row r="11" spans="1:11" ht="26.4" x14ac:dyDescent="0.3">
      <c r="A11" s="10" t="s">
        <v>150</v>
      </c>
      <c r="B11" s="11" t="s">
        <v>151</v>
      </c>
      <c r="C11" s="11" t="s">
        <v>152</v>
      </c>
      <c r="D11" s="23">
        <v>3</v>
      </c>
      <c r="E11" s="23">
        <v>3</v>
      </c>
      <c r="F11" s="24">
        <f t="shared" si="0"/>
        <v>9</v>
      </c>
      <c r="G11" s="10" t="str">
        <f t="shared" si="1"/>
        <v>Vàng</v>
      </c>
      <c r="H11" s="23" t="s">
        <v>122</v>
      </c>
      <c r="I11" s="11" t="s">
        <v>153</v>
      </c>
      <c r="J11" s="10" t="s">
        <v>124</v>
      </c>
      <c r="K11" s="23" t="s">
        <v>141</v>
      </c>
    </row>
    <row r="12" spans="1:11" x14ac:dyDescent="0.3">
      <c r="A12" s="10" t="s">
        <v>154</v>
      </c>
      <c r="B12" s="11" t="s">
        <v>155</v>
      </c>
      <c r="C12" s="11" t="s">
        <v>156</v>
      </c>
      <c r="D12" s="23">
        <v>3</v>
      </c>
      <c r="E12" s="23">
        <v>5</v>
      </c>
      <c r="F12" s="24">
        <f t="shared" si="0"/>
        <v>15</v>
      </c>
      <c r="G12" s="10" t="str">
        <f t="shared" si="1"/>
        <v>Đỏ</v>
      </c>
      <c r="H12" s="23" t="s">
        <v>122</v>
      </c>
      <c r="I12" s="11" t="s">
        <v>157</v>
      </c>
      <c r="J12" s="10" t="s">
        <v>124</v>
      </c>
      <c r="K12" s="23" t="s">
        <v>158</v>
      </c>
    </row>
    <row r="13" spans="1:11" x14ac:dyDescent="0.3">
      <c r="A13" s="10" t="s">
        <v>159</v>
      </c>
      <c r="B13" s="11" t="s">
        <v>160</v>
      </c>
      <c r="C13" s="11" t="s">
        <v>161</v>
      </c>
      <c r="D13" s="23">
        <v>1</v>
      </c>
      <c r="E13" s="23">
        <v>5</v>
      </c>
      <c r="F13" s="24">
        <f t="shared" si="0"/>
        <v>5</v>
      </c>
      <c r="G13" s="10" t="str">
        <f t="shared" si="1"/>
        <v>Xanh</v>
      </c>
      <c r="H13" s="23" t="s">
        <v>162</v>
      </c>
      <c r="I13" s="11" t="s">
        <v>163</v>
      </c>
      <c r="J13" s="10" t="s">
        <v>124</v>
      </c>
      <c r="K13" s="23" t="s">
        <v>141</v>
      </c>
    </row>
    <row r="15" spans="1:11" x14ac:dyDescent="0.3">
      <c r="B15" s="17" t="s">
        <v>164</v>
      </c>
      <c r="F15" s="24">
        <f>COUNTIF(G5:G13,"Đỏ")</f>
        <v>5</v>
      </c>
    </row>
    <row r="16" spans="1:11" x14ac:dyDescent="0.3">
      <c r="B16" s="17" t="s">
        <v>165</v>
      </c>
      <c r="F16" s="24">
        <f>COUNTIF(G5:G13,"Vàng")</f>
        <v>3</v>
      </c>
    </row>
    <row r="17" spans="2:6" x14ac:dyDescent="0.3">
      <c r="B17" s="17" t="s">
        <v>166</v>
      </c>
      <c r="F17" s="25">
        <f>AVERAGE(F5:F13)</f>
        <v>12.444444444444445</v>
      </c>
    </row>
  </sheetData>
  <conditionalFormatting sqref="G5:G13">
    <cfRule type="cellIs" dxfId="5" priority="1" operator="equal">
      <formula>"Đỏ"</formula>
    </cfRule>
    <cfRule type="cellIs" dxfId="4" priority="2" operator="equal">
      <formula>"Vàng"</formula>
    </cfRule>
    <cfRule type="cellIs" dxfId="3" priority="3" operator="equal">
      <formula>"Xanh"</formula>
    </cfRule>
  </conditionalFormatting>
  <dataValidations count="2">
    <dataValidation type="whole" sqref="D5:E13" xr:uid="{00000000-0002-0000-0200-000000000000}">
      <formula1>1</formula1>
      <formula2>5</formula2>
    </dataValidation>
    <dataValidation type="list" sqref="H5:H13" xr:uid="{00000000-0002-0000-0200-000001000000}">
      <formula1>"Né tránh,Chuyển giao,Giảm thiểu,Chấp nhận,Báo cáo lên trên"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/>
  </sheetViews>
  <sheetFormatPr defaultRowHeight="14.4" x14ac:dyDescent="0.3"/>
  <cols>
    <col min="1" max="1" width="62" customWidth="1"/>
    <col min="2" max="2" width="11" customWidth="1"/>
    <col min="3" max="3" width="13" customWidth="1"/>
    <col min="4" max="4" width="12" customWidth="1"/>
    <col min="5" max="5" width="30" customWidth="1"/>
  </cols>
  <sheetData>
    <row r="1" spans="1:5" ht="16.8" x14ac:dyDescent="0.3">
      <c r="A1" s="1" t="s">
        <v>167</v>
      </c>
    </row>
    <row r="2" spans="1:5" x14ac:dyDescent="0.3">
      <c r="A2" s="4" t="s">
        <v>168</v>
      </c>
    </row>
    <row r="4" spans="1:5" ht="31.95" customHeight="1" x14ac:dyDescent="0.3">
      <c r="A4" s="5" t="s">
        <v>169</v>
      </c>
      <c r="B4" s="5" t="s">
        <v>170</v>
      </c>
      <c r="C4" s="5" t="s">
        <v>171</v>
      </c>
      <c r="D4" s="5" t="s">
        <v>172</v>
      </c>
      <c r="E4" s="5" t="s">
        <v>173</v>
      </c>
    </row>
    <row r="5" spans="1:5" ht="26.4" x14ac:dyDescent="0.3">
      <c r="A5" s="11" t="s">
        <v>174</v>
      </c>
      <c r="B5" s="26">
        <v>2.5</v>
      </c>
      <c r="C5" s="15">
        <v>1</v>
      </c>
      <c r="D5" s="27">
        <f>B5*C5</f>
        <v>2.5</v>
      </c>
      <c r="E5" s="11" t="s">
        <v>175</v>
      </c>
    </row>
    <row r="6" spans="1:5" x14ac:dyDescent="0.3">
      <c r="A6" s="11" t="s">
        <v>176</v>
      </c>
      <c r="B6" s="26">
        <v>2.5</v>
      </c>
      <c r="C6" s="15">
        <v>1</v>
      </c>
      <c r="D6" s="27">
        <f>B6*C6</f>
        <v>2.5</v>
      </c>
      <c r="E6" s="11" t="s">
        <v>177</v>
      </c>
    </row>
    <row r="7" spans="1:5" x14ac:dyDescent="0.3">
      <c r="A7" s="11" t="s">
        <v>178</v>
      </c>
      <c r="B7" s="26">
        <v>2</v>
      </c>
      <c r="C7" s="15">
        <v>1</v>
      </c>
      <c r="D7" s="27">
        <f>B7*C7</f>
        <v>2</v>
      </c>
      <c r="E7" s="11" t="s">
        <v>179</v>
      </c>
    </row>
    <row r="8" spans="1:5" x14ac:dyDescent="0.3">
      <c r="A8" s="11" t="s">
        <v>180</v>
      </c>
      <c r="B8" s="26">
        <v>2</v>
      </c>
      <c r="C8" s="15">
        <v>0</v>
      </c>
      <c r="D8" s="27">
        <f>B8*C8</f>
        <v>0</v>
      </c>
      <c r="E8" s="11" t="s">
        <v>88</v>
      </c>
    </row>
    <row r="9" spans="1:5" x14ac:dyDescent="0.3">
      <c r="A9" s="11" t="s">
        <v>181</v>
      </c>
      <c r="B9" s="26">
        <v>1</v>
      </c>
      <c r="C9" s="15">
        <v>0</v>
      </c>
      <c r="D9" s="27">
        <f>B9*C9</f>
        <v>0</v>
      </c>
      <c r="E9" s="11" t="s">
        <v>182</v>
      </c>
    </row>
    <row r="10" spans="1:5" x14ac:dyDescent="0.3">
      <c r="A10" s="17" t="s">
        <v>183</v>
      </c>
      <c r="B10" s="25">
        <f>SUM(B5:B9)</f>
        <v>10</v>
      </c>
      <c r="C10" s="28">
        <f>D10/B10</f>
        <v>0.7</v>
      </c>
      <c r="D10" s="29">
        <f>SUM(D5:D9)</f>
        <v>7</v>
      </c>
    </row>
    <row r="12" spans="1:5" x14ac:dyDescent="0.3">
      <c r="A12" s="2" t="s">
        <v>184</v>
      </c>
    </row>
    <row r="13" spans="1:5" x14ac:dyDescent="0.3">
      <c r="A13" s="11" t="s">
        <v>185</v>
      </c>
      <c r="C13" s="23" t="s">
        <v>186</v>
      </c>
    </row>
    <row r="14" spans="1:5" ht="26.4" x14ac:dyDescent="0.3">
      <c r="A14" s="11" t="s">
        <v>187</v>
      </c>
      <c r="C14" s="23" t="s">
        <v>188</v>
      </c>
    </row>
    <row r="15" spans="1:5" x14ac:dyDescent="0.3">
      <c r="A15" s="11" t="s">
        <v>189</v>
      </c>
      <c r="C15" s="23" t="s">
        <v>186</v>
      </c>
    </row>
    <row r="16" spans="1:5" x14ac:dyDescent="0.3">
      <c r="A16" s="11" t="s">
        <v>190</v>
      </c>
      <c r="C16" s="23" t="s">
        <v>186</v>
      </c>
    </row>
    <row r="17" spans="1:3" x14ac:dyDescent="0.3">
      <c r="A17" s="11" t="s">
        <v>191</v>
      </c>
      <c r="C17" s="23" t="s">
        <v>186</v>
      </c>
    </row>
    <row r="18" spans="1:3" x14ac:dyDescent="0.3">
      <c r="A18" s="11" t="s">
        <v>192</v>
      </c>
      <c r="C18" s="23" t="s">
        <v>193</v>
      </c>
    </row>
    <row r="19" spans="1:3" ht="26.4" x14ac:dyDescent="0.3">
      <c r="A19" s="11" t="s">
        <v>194</v>
      </c>
      <c r="C19" s="23" t="s">
        <v>195</v>
      </c>
    </row>
    <row r="20" spans="1:3" x14ac:dyDescent="0.3">
      <c r="A20" s="11" t="s">
        <v>196</v>
      </c>
      <c r="C20" s="23" t="s">
        <v>186</v>
      </c>
    </row>
  </sheetData>
  <conditionalFormatting sqref="C13:C20">
    <cfRule type="cellIs" dxfId="2" priority="1" operator="equal">
      <formula>"Đạt"</formula>
    </cfRule>
    <cfRule type="expression" dxfId="1" priority="2">
      <formula>LEFT(C13,5)="Chưa "</formula>
    </cfRule>
    <cfRule type="expression" dxfId="0" priority="3">
      <formula>LEFT(C13,5)="Không"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4" x14ac:dyDescent="0.3"/>
  <cols>
    <col min="1" max="1" width="12" customWidth="1"/>
    <col min="2" max="2" width="10" customWidth="1"/>
    <col min="3" max="3" width="70" customWidth="1"/>
    <col min="4" max="4" width="13" customWidth="1"/>
  </cols>
  <sheetData>
    <row r="1" spans="1:4" ht="16.8" x14ac:dyDescent="0.3">
      <c r="A1" s="1" t="s">
        <v>197</v>
      </c>
    </row>
    <row r="3" spans="1:4" ht="31.95" customHeight="1" x14ac:dyDescent="0.3">
      <c r="A3" s="5" t="s">
        <v>198</v>
      </c>
      <c r="B3" s="5" t="s">
        <v>199</v>
      </c>
      <c r="C3" s="5" t="s">
        <v>200</v>
      </c>
      <c r="D3" s="5" t="s">
        <v>201</v>
      </c>
    </row>
    <row r="4" spans="1:4" x14ac:dyDescent="0.3">
      <c r="A4" s="30">
        <v>46314</v>
      </c>
      <c r="B4" s="23">
        <v>1</v>
      </c>
      <c r="C4" s="31" t="s">
        <v>202</v>
      </c>
      <c r="D4" s="10">
        <f>SUM($B$4:B4)</f>
        <v>1</v>
      </c>
    </row>
    <row r="5" spans="1:4" x14ac:dyDescent="0.3">
      <c r="A5" s="30">
        <v>46315</v>
      </c>
      <c r="B5" s="23">
        <v>10</v>
      </c>
      <c r="C5" s="31" t="s">
        <v>203</v>
      </c>
      <c r="D5" s="10">
        <f>SUM($B$4:B5)</f>
        <v>11</v>
      </c>
    </row>
    <row r="6" spans="1:4" ht="26.4" x14ac:dyDescent="0.3">
      <c r="A6" s="30">
        <v>46321</v>
      </c>
      <c r="B6" s="23">
        <v>35</v>
      </c>
      <c r="C6" s="31" t="s">
        <v>204</v>
      </c>
      <c r="D6" s="10">
        <f>SUM($B$4:B6)</f>
        <v>46</v>
      </c>
    </row>
    <row r="7" spans="1:4" x14ac:dyDescent="0.3">
      <c r="A7" s="17" t="s">
        <v>205</v>
      </c>
      <c r="B7" s="24">
        <f>SUM(B4:B6)</f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Gantt</vt:lpstr>
      <vt:lpstr>Rủi ro</vt:lpstr>
      <vt:lpstr>Barem</vt:lpstr>
      <vt:lpstr>Nhật ký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Đàm Dũng</cp:lastModifiedBy>
  <dcterms:created xsi:type="dcterms:W3CDTF">2026-10-26T08:20:01Z</dcterms:created>
  <dcterms:modified xsi:type="dcterms:W3CDTF">2026-10-26T08:20:16Z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2026-10-26T08:20:16Z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d44c6ba8-8a08-4456-a08e-a8d4f028be68</vt:lpwstr>
  </property>
  <property fmtid="{D5CDD505-2E9C-101B-9397-08002B2CF9AE}" pid="7" name="MSIP_Label_defa4170-0d19-0005-0004-bc88714345d2_ActionId">
    <vt:lpwstr>434ea700-ed49-48d5-a66e-3df910cfb6c5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